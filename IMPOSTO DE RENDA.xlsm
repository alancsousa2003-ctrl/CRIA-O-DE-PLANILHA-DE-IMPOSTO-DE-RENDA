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conta\Downloads\CURSO EXCEL DIO\"/>
    </mc:Choice>
  </mc:AlternateContent>
  <xr:revisionPtr revIDLastSave="0" documentId="13_ncr:1_{7D72F5BA-B385-444D-B008-B48003AE5142}" xr6:coauthVersionLast="47" xr6:coauthVersionMax="47" xr10:uidLastSave="{00000000-0000-0000-0000-000000000000}"/>
  <bookViews>
    <workbookView showSheetTabs="0" xWindow="-120" yWindow="-120" windowWidth="20730" windowHeight="11160" activeTab="2" xr2:uid="{6E0EA6E1-2BA4-427A-BCAD-6425D303079F}"/>
  </bookViews>
  <sheets>
    <sheet name="Titular" sheetId="13" r:id="rId1"/>
    <sheet name="Informes" sheetId="14" r:id="rId2"/>
    <sheet name="Notas" sheetId="15" r:id="rId3"/>
    <sheet name="Tabelas auxiliares" sheetId="16" state="hidden" r:id="rId4"/>
  </sheets>
  <definedNames>
    <definedName name="ListaDinamica">Tab_CodBancos[BANCOS]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3" i="16" l="1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2" i="16"/>
  <c r="F3" i="16"/>
  <c r="F4" i="16"/>
  <c r="F5" i="16"/>
  <c r="F6" i="16"/>
  <c r="F7" i="16"/>
  <c r="F8" i="16"/>
  <c r="F9" i="16"/>
  <c r="F10" i="16"/>
  <c r="F11" i="16"/>
  <c r="F12" i="16"/>
  <c r="F13" i="16"/>
  <c r="F14" i="16"/>
  <c r="F15" i="16"/>
  <c r="F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2" i="16"/>
  <c r="D2" i="16"/>
  <c r="D3" i="16" l="1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2" i="16"/>
  <c r="C7" i="14"/>
</calcChain>
</file>

<file path=xl/sharedStrings.xml><?xml version="1.0" encoding="utf-8"?>
<sst xmlns="http://schemas.openxmlformats.org/spreadsheetml/2006/main" count="92" uniqueCount="83">
  <si>
    <t>NOME</t>
  </si>
  <si>
    <t>CPF</t>
  </si>
  <si>
    <t>NASCIMENTO</t>
  </si>
  <si>
    <t>TÍTULO DE ELEITOR</t>
  </si>
  <si>
    <t>CÔNJUGE</t>
  </si>
  <si>
    <t>RUA</t>
  </si>
  <si>
    <t>RUA ABREVIADA</t>
  </si>
  <si>
    <t>CEP</t>
  </si>
  <si>
    <t>TELEFONE</t>
  </si>
  <si>
    <t>CELULAR</t>
  </si>
  <si>
    <t>E-MAIL</t>
  </si>
  <si>
    <t>HOUVE ALTERAÇÕES DA ENTREGA ANTERIOR</t>
  </si>
  <si>
    <t>DEPENDENTE CÔNJUGE</t>
  </si>
  <si>
    <t>RESIDENTE DO EXTERIOR</t>
  </si>
  <si>
    <t>1. DADOS DO TITULAR</t>
  </si>
  <si>
    <t>preencha os dados da pessoa física abaixo</t>
  </si>
  <si>
    <t>2. INFORMES DE RENDIMENTOS BANCÁRIOS</t>
  </si>
  <si>
    <t>preencha com os seus dados atuais de cada banco</t>
  </si>
  <si>
    <t>BANCO</t>
  </si>
  <si>
    <t>VALOR ATUAL</t>
  </si>
  <si>
    <t>ANEXO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</si>
  <si>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</si>
  <si>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</si>
  <si>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</si>
  <si>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</si>
  <si>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</si>
  <si>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</si>
  <si>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</si>
  <si>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</si>
  <si>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</si>
  <si>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</si>
  <si>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</si>
  <si>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</si>
  <si>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</si>
  <si>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</si>
  <si>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</si>
  <si>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</si>
  <si>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</si>
  <si>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</si>
  <si>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</si>
  <si>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</si>
  <si>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</si>
  <si>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</si>
  <si>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</si>
  <si>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</si>
  <si>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</si>
  <si>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</si>
  <si>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</si>
  <si>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</si>
  <si>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</si>
  <si>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</si>
  <si>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</si>
  <si>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</si>
  <si>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</si>
  <si>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</si>
  <si>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</si>
  <si>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</si>
  <si>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</si>
  <si>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</si>
  <si>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</si>
  <si>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</si>
  <si>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</si>
  <si>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</si>
  <si>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</si>
  <si>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</si>
  <si>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</si>
  <si>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</si>
  <si>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</si>
  <si>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</si>
  <si>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</si>
  <si>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</si>
  <si>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BANCOS</t>
  </si>
  <si>
    <t>1 Banco</t>
  </si>
  <si>
    <t>2 Banco</t>
  </si>
  <si>
    <t>3 Banco</t>
  </si>
  <si>
    <t>TOTAL</t>
  </si>
  <si>
    <t>3. NOTAS BANCÁRIAS E EXTRATOS DE HOLERITES</t>
  </si>
  <si>
    <t>são todos os valores de entrada mês a mês de receita</t>
  </si>
  <si>
    <t>DATA</t>
  </si>
  <si>
    <t>CATEGORIA</t>
  </si>
  <si>
    <t>VALOR</t>
  </si>
  <si>
    <t>ENTRADAS</t>
  </si>
  <si>
    <t>HOLERITE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</si>
</sst>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R$&quot;\ #,##0.00"/>
  </numFmts>
  <fonts count="13" x14ac:knownFonts="1"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1"/>
      <name val="Segoe UI Light"/>
      <family val="2"/>
    </font>
    <font>
      <b/>
      <sz val="18"/>
      <color rgb="FFD78F16"/>
      <name val="Aptos Narrow"/>
      <family val="2"/>
      <scheme val="minor"/>
    </font>
    <font>
      <b/>
      <i/>
      <sz val="11"/>
      <color rgb="FFD78F16"/>
      <name val="Aptos Narrow"/>
      <family val="2"/>
      <scheme val="minor"/>
    </font>
    <font>
      <b/>
      <sz val="12"/>
      <color theme="1"/>
      <name val="Segoe UI Light"/>
      <family val="2"/>
    </font>
    <font>
      <sz val="11"/>
      <color theme="0" tint="-0.34998626667073579"/>
      <name val="Aptos Narrow"/>
      <family val="2"/>
      <scheme val="minor"/>
    </font>
    <font>
      <b/>
      <sz val="14"/>
      <color theme="3"/>
      <name val="Aptos Narrow"/>
      <family val="2"/>
      <scheme val="minor"/>
    </font>
    <font>
      <b/>
      <sz val="12"/>
      <color rgb="FFD78F16"/>
      <name val="Segoe UI Light"/>
      <family val="2"/>
    </font>
    <font>
      <b/>
      <sz val="12"/>
      <color theme="0"/>
      <name val="Aptos Narrow"/>
      <family val="2"/>
      <scheme val="minor"/>
    </font>
    <font>
      <b/>
      <sz val="14"/>
      <color theme="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rgb="FFCBA43D"/>
        <bgColor indexed="64"/>
      </patternFill>
    </fill>
    <fill>
      <patternFill patternType="solid">
        <fgColor rgb="FFFFF7D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0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/>
      <top/>
      <bottom style="thick">
        <color rgb="FFD78F16"/>
      </bottom>
      <diagonal/>
    </border>
    <border>
      <left/>
      <right/>
      <top/>
      <bottom style="thick">
        <color rgb="FFCBA43D"/>
      </bottom>
      <diagonal/>
    </border>
    <border>
      <left/>
      <right/>
      <top style="thick">
        <color rgb="FFCBA43D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6">
    <xf numFmtId="0" fontId="0" fillId="0" borderId="0"/>
    <xf numFmtId="0" fontId="1" fillId="0" borderId="5" applyNumberFormat="0" applyFill="0" applyAlignment="0" applyProtection="0"/>
    <xf numFmtId="0" fontId="2" fillId="0" borderId="1" applyNumberFormat="0" applyFill="0" applyAlignment="0" applyProtection="0"/>
    <xf numFmtId="0" fontId="1" fillId="0" borderId="5"/>
    <xf numFmtId="0" fontId="1" fillId="0" borderId="5"/>
    <xf numFmtId="0" fontId="1" fillId="0" borderId="5" applyFill="0" applyAlignment="0" applyProtection="0"/>
  </cellStyleXfs>
  <cellXfs count="29">
    <xf numFmtId="0" fontId="0" fillId="0" borderId="0" xfId="0"/>
    <xf numFmtId="0" fontId="0" fillId="2" borderId="0" xfId="0" applyFill="1"/>
    <xf numFmtId="0" fontId="4" fillId="0" borderId="2" xfId="0" applyFont="1" applyBorder="1"/>
    <xf numFmtId="0" fontId="4" fillId="0" borderId="3" xfId="0" applyFont="1" applyBorder="1"/>
    <xf numFmtId="0" fontId="4" fillId="0" borderId="4" xfId="0" applyFont="1" applyBorder="1"/>
    <xf numFmtId="0" fontId="1" fillId="0" borderId="6" xfId="1" applyBorder="1"/>
    <xf numFmtId="0" fontId="5" fillId="0" borderId="6" xfId="1" applyFont="1" applyFill="1" applyBorder="1"/>
    <xf numFmtId="0" fontId="0" fillId="0" borderId="0" xfId="0" applyFill="1"/>
    <xf numFmtId="0" fontId="0" fillId="6" borderId="9" xfId="0" applyFont="1" applyFill="1" applyBorder="1"/>
    <xf numFmtId="0" fontId="0" fillId="0" borderId="8" xfId="0" applyFont="1" applyBorder="1"/>
    <xf numFmtId="0" fontId="0" fillId="6" borderId="8" xfId="0" applyFont="1" applyFill="1" applyBorder="1"/>
    <xf numFmtId="0" fontId="3" fillId="5" borderId="0" xfId="0" applyFont="1" applyFill="1" applyBorder="1" applyAlignment="1">
      <alignment horizontal="center" vertical="center"/>
    </xf>
    <xf numFmtId="0" fontId="8" fillId="0" borderId="0" xfId="0" applyFont="1" applyFill="1"/>
    <xf numFmtId="0" fontId="7" fillId="0" borderId="0" xfId="0" applyFont="1" applyBorder="1"/>
    <xf numFmtId="0" fontId="9" fillId="0" borderId="0" xfId="2" applyFont="1" applyBorder="1"/>
    <xf numFmtId="0" fontId="0" fillId="0" borderId="0" xfId="0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14" fontId="0" fillId="0" borderId="0" xfId="0" applyNumberFormat="1" applyFill="1" applyAlignment="1" applyProtection="1">
      <alignment horizontal="center" vertical="center"/>
      <protection locked="0"/>
    </xf>
    <xf numFmtId="0" fontId="10" fillId="4" borderId="2" xfId="0" applyFont="1" applyFill="1" applyBorder="1" applyAlignment="1" applyProtection="1">
      <alignment horizontal="left" vertical="center"/>
      <protection locked="0"/>
    </xf>
    <xf numFmtId="164" fontId="10" fillId="4" borderId="2" xfId="0" applyNumberFormat="1" applyFont="1" applyFill="1" applyBorder="1" applyAlignment="1" applyProtection="1">
      <alignment horizontal="left" vertical="center"/>
      <protection locked="0"/>
    </xf>
    <xf numFmtId="0" fontId="10" fillId="4" borderId="4" xfId="0" applyFont="1" applyFill="1" applyBorder="1" applyAlignment="1" applyProtection="1">
      <alignment horizontal="left" vertical="center"/>
      <protection locked="0"/>
    </xf>
    <xf numFmtId="0" fontId="6" fillId="4" borderId="7" xfId="0" applyFont="1" applyFill="1" applyBorder="1" applyAlignment="1">
      <alignment horizontal="left" vertical="center" indent="5"/>
    </xf>
    <xf numFmtId="164" fontId="5" fillId="4" borderId="0" xfId="0" applyNumberFormat="1" applyFont="1" applyFill="1" applyAlignment="1">
      <alignment horizontal="center"/>
    </xf>
    <xf numFmtId="0" fontId="5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 vertical="center"/>
    </xf>
  </cellXfs>
  <cellStyles count="6">
    <cellStyle name="Estilo 1" xfId="3" xr:uid="{E99186C1-95BC-4056-B34F-81BE3B65EBAF}"/>
    <cellStyle name="Estilo 2" xfId="4" xr:uid="{C4A3AF9F-4039-4682-AD17-C61705F5522D}"/>
    <cellStyle name="Normal" xfId="0" builtinId="0"/>
    <cellStyle name="Título 1" xfId="1" builtinId="16" customBuiltin="1"/>
    <cellStyle name="Título 1 2" xfId="5" xr:uid="{0016D56E-1C79-458A-991F-156548A4BFF0}"/>
    <cellStyle name="Título 3" xfId="2" builtinId="18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0" tint="-0.149967955565050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numFmt numFmtId="164" formatCode="&quot;R$&quot;\ #,##0.00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19" formatCode="dd/mm/yyyy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ill>
        <patternFill>
          <bgColor rgb="FFFFF7D0"/>
        </patternFill>
      </fill>
    </dxf>
    <dxf>
      <fill>
        <patternFill>
          <bgColor rgb="FFF6DC83"/>
        </patternFill>
      </fill>
    </dxf>
    <dxf>
      <fill>
        <patternFill>
          <bgColor rgb="FFD78F16"/>
        </patternFill>
      </fill>
    </dxf>
  </dxfs>
  <tableStyles count="2" defaultTableStyle="TableStyleMedium2" defaultPivotStyle="PivotStyleLight16">
    <tableStyle name="Estilo de Tabela 1" pivot="0" count="3" xr9:uid="{077C75BC-F390-47C5-833B-7B2712D8C89B}">
      <tableStyleElement type="headerRow" dxfId="11"/>
      <tableStyleElement type="firstRowStripe" dxfId="10"/>
      <tableStyleElement type="secondRowStripe" dxfId="9"/>
    </tableStyle>
    <tableStyle name="Invisible" pivot="0" table="0" count="0" xr9:uid="{C05E6134-1217-4315-B01E-A29A9406E868}"/>
  </tableStyles>
  <colors>
    <mruColors>
      <color rgb="FFFFF7D0"/>
      <color rgb="FFF6DC83"/>
      <color rgb="FFD78F16"/>
      <color rgb="FFEAD46F"/>
      <color rgb="FFECCB6E"/>
      <color rgb="FFCBA43D"/>
      <color rgb="FFFFFE88"/>
      <color rgb="FFEE37B7"/>
      <color rgb="FF6124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2" Type="http://schemas.openxmlformats.org/officeDocument/2006/relationships/hyperlink" Target="#Titular!D6"/><Relationship Id="rId1" Type="http://schemas.openxmlformats.org/officeDocument/2006/relationships/image" Target="../media/image1.png"/><Relationship Id="rId6" Type="http://schemas.openxmlformats.org/officeDocument/2006/relationships/hyperlink" Target="#Informes!A1"/><Relationship Id="rId5" Type="http://schemas.openxmlformats.org/officeDocument/2006/relationships/image" Target="../media/image2.png"/><Relationship Id="rId4" Type="http://schemas.openxmlformats.org/officeDocument/2006/relationships/hyperlink" Target="#Nota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2" Type="http://schemas.openxmlformats.org/officeDocument/2006/relationships/hyperlink" Target="#Titular!A1"/><Relationship Id="rId1" Type="http://schemas.openxmlformats.org/officeDocument/2006/relationships/image" Target="../media/image1.png"/><Relationship Id="rId5" Type="http://schemas.openxmlformats.org/officeDocument/2006/relationships/image" Target="../media/image2.png"/><Relationship Id="rId4" Type="http://schemas.openxmlformats.org/officeDocument/2006/relationships/hyperlink" Target="#Nota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2" Type="http://schemas.openxmlformats.org/officeDocument/2006/relationships/hyperlink" Target="#Titular!A1"/><Relationship Id="rId1" Type="http://schemas.openxmlformats.org/officeDocument/2006/relationships/image" Target="../media/image1.png"/><Relationship Id="rId6" Type="http://schemas.openxmlformats.org/officeDocument/2006/relationships/hyperlink" Target="#Informes!A1"/><Relationship Id="rId5" Type="http://schemas.openxmlformats.org/officeDocument/2006/relationships/image" Target="../media/image2.png"/><Relationship Id="rId4" Type="http://schemas.openxmlformats.org/officeDocument/2006/relationships/hyperlink" Target="#Nota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114300</xdr:colOff>
      <xdr:row>0</xdr:row>
      <xdr:rowOff>85725</xdr:rowOff>
    </xdr:from>
    <xdr:to>
      <xdr:col>0</xdr:col>
      <xdr:colOff>2562225</xdr:colOff>
      <xdr:row>9</xdr:row>
      <xdr:rowOff>209550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51001BA1-4015-4DCF-9387-F17E19E03EE7}"/>
            </a:ext>
          </a:extLst>
        </xdr:cNvPr>
        <xdr:cNvGrpSpPr/>
      </xdr:nvGrpSpPr>
      <xdr:grpSpPr>
        <a:xfrm>
          <a:off x="114300" y="85725"/>
          <a:ext cx="2447925" cy="2219325"/>
          <a:chOff x="228600" y="257175"/>
          <a:chExt cx="2447925" cy="2219325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55498F78-8A63-A3C7-D804-FCE2FD37C9A8}"/>
              </a:ext>
            </a:extLst>
          </xdr:cNvPr>
          <xdr:cNvSpPr/>
        </xdr:nvSpPr>
        <xdr:spPr>
          <a:xfrm>
            <a:off x="228600" y="257175"/>
            <a:ext cx="2447925" cy="666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3200" b="1">
                <a:gradFill flip="none" rotWithShape="1">
                  <a:gsLst>
                    <a:gs pos="11000">
                      <a:srgbClr val="FFFE88"/>
                    </a:gs>
                    <a:gs pos="76000">
                      <a:srgbClr val="D78F16"/>
                    </a:gs>
                  </a:gsLst>
                  <a:lin ang="0" scaled="1"/>
                  <a:tileRect/>
                </a:gradFill>
                <a:latin typeface="Arial Black" panose="020B0A04020102020204" pitchFamily="34" charset="0"/>
              </a:rPr>
              <a:t>LION</a:t>
            </a:r>
            <a:r>
              <a:rPr lang="pt-BR" sz="3200" b="1" baseline="0">
                <a:gradFill flip="none" rotWithShape="1">
                  <a:gsLst>
                    <a:gs pos="11000">
                      <a:srgbClr val="FFFE88"/>
                    </a:gs>
                    <a:gs pos="76000">
                      <a:srgbClr val="D78F16"/>
                    </a:gs>
                  </a:gsLst>
                  <a:lin ang="0" scaled="1"/>
                  <a:tileRect/>
                </a:gradFill>
                <a:latin typeface="Arial Black" panose="020B0A04020102020204" pitchFamily="34" charset="0"/>
              </a:rPr>
              <a:t> APP</a:t>
            </a:r>
            <a:endParaRPr lang="pt-BR" sz="3200" b="1">
              <a:gradFill flip="none" rotWithShape="1">
                <a:gsLst>
                  <a:gs pos="11000">
                    <a:srgbClr val="FFFE88"/>
                  </a:gs>
                  <a:gs pos="76000">
                    <a:srgbClr val="D78F16"/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endParaRPr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8651DD0D-6086-0397-4D4F-E67C7C5A7A3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0164" t="7541" r="11147" b="6885"/>
          <a:stretch/>
        </xdr:blipFill>
        <xdr:spPr>
          <a:xfrm>
            <a:off x="760631" y="971550"/>
            <a:ext cx="1383862" cy="150495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162865</xdr:colOff>
      <xdr:row>11</xdr:row>
      <xdr:rowOff>36111</xdr:rowOff>
    </xdr:from>
    <xdr:to>
      <xdr:col>0</xdr:col>
      <xdr:colOff>2497014</xdr:colOff>
      <xdr:row>14</xdr:row>
      <xdr:rowOff>102839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54B50CD-8FB9-42B4-B759-86578C3E35C7}"/>
            </a:ext>
          </a:extLst>
        </xdr:cNvPr>
        <xdr:cNvSpPr/>
      </xdr:nvSpPr>
      <xdr:spPr>
        <a:xfrm>
          <a:off x="162865" y="2560236"/>
          <a:ext cx="2334149" cy="709666"/>
        </a:xfrm>
        <a:prstGeom prst="roundRect">
          <a:avLst>
            <a:gd name="adj" fmla="val 50000"/>
          </a:avLst>
        </a:prstGeom>
        <a:gradFill flip="none" rotWithShape="1">
          <a:gsLst>
            <a:gs pos="27000">
              <a:srgbClr val="FFFE88">
                <a:alpha val="76000"/>
              </a:srgbClr>
            </a:gs>
            <a:gs pos="61000">
              <a:srgbClr val="D78F16">
                <a:alpha val="69000"/>
                <a:lumMod val="95000"/>
                <a:lumOff val="5000"/>
              </a:srgb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chemeClr val="tx1">
                  <a:lumMod val="75000"/>
                  <a:lumOff val="2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TITULAR</a:t>
          </a:r>
        </a:p>
      </xdr:txBody>
    </xdr:sp>
    <xdr:clientData/>
  </xdr:twoCellAnchor>
  <xdr:twoCellAnchor editAs="absolute">
    <xdr:from>
      <xdr:col>0</xdr:col>
      <xdr:colOff>162865</xdr:colOff>
      <xdr:row>15</xdr:row>
      <xdr:rowOff>121522</xdr:rowOff>
    </xdr:from>
    <xdr:to>
      <xdr:col>0</xdr:col>
      <xdr:colOff>2497014</xdr:colOff>
      <xdr:row>18</xdr:row>
      <xdr:rowOff>194882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0883454-1984-4C93-B28C-B7EE5A1FB445}"/>
            </a:ext>
          </a:extLst>
        </xdr:cNvPr>
        <xdr:cNvSpPr/>
      </xdr:nvSpPr>
      <xdr:spPr>
        <a:xfrm>
          <a:off x="162865" y="3502897"/>
          <a:ext cx="2334149" cy="709666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chemeClr val="tx1">
                  <a:lumMod val="75000"/>
                  <a:lumOff val="2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162865</xdr:colOff>
      <xdr:row>20</xdr:row>
      <xdr:rowOff>23064</xdr:rowOff>
    </xdr:from>
    <xdr:to>
      <xdr:col>0</xdr:col>
      <xdr:colOff>2497014</xdr:colOff>
      <xdr:row>23</xdr:row>
      <xdr:rowOff>161231</xdr:rowOff>
    </xdr:to>
    <xdr:sp macro="" textlink="">
      <xdr:nvSpPr>
        <xdr:cNvPr id="7" name="Retângulo: Cantos Arredondado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7303C54-DAE2-4631-AAA4-C6DF5AFA799F}"/>
            </a:ext>
          </a:extLst>
        </xdr:cNvPr>
        <xdr:cNvSpPr/>
      </xdr:nvSpPr>
      <xdr:spPr>
        <a:xfrm>
          <a:off x="162865" y="4445557"/>
          <a:ext cx="2334149" cy="709666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chemeClr val="tx1">
                  <a:lumMod val="75000"/>
                  <a:lumOff val="2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NOTAS</a:t>
          </a:r>
        </a:p>
      </xdr:txBody>
    </xdr:sp>
    <xdr:clientData/>
  </xdr:twoCellAnchor>
  <xdr:twoCellAnchor editAs="absolute">
    <xdr:from>
      <xdr:col>0</xdr:col>
      <xdr:colOff>314011</xdr:colOff>
      <xdr:row>29</xdr:row>
      <xdr:rowOff>133285</xdr:rowOff>
    </xdr:from>
    <xdr:to>
      <xdr:col>0</xdr:col>
      <xdr:colOff>2229477</xdr:colOff>
      <xdr:row>31</xdr:row>
      <xdr:rowOff>133283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255BD541-ED3F-4740-8628-CFCC3EEA2DA5}"/>
            </a:ext>
          </a:extLst>
        </xdr:cNvPr>
        <xdr:cNvSpPr/>
      </xdr:nvSpPr>
      <xdr:spPr>
        <a:xfrm>
          <a:off x="314011" y="5936902"/>
          <a:ext cx="1915466" cy="380999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>
                  <a:lumMod val="90000"/>
                </a:schemeClr>
              </a:solidFill>
              <a:latin typeface="Arial Black" panose="020B0A04020102020204" pitchFamily="34" charset="0"/>
            </a:rPr>
            <a:t>SYSTEM BY ALAN </a:t>
          </a:r>
          <a:r>
            <a:rPr lang="pt-BR" sz="1400" baseline="0">
              <a:gradFill>
                <a:gsLst>
                  <a:gs pos="27000">
                    <a:srgbClr val="FFFE88"/>
                  </a:gs>
                  <a:gs pos="78000">
                    <a:srgbClr val="D78F16"/>
                  </a:gs>
                  <a:gs pos="9000">
                    <a:schemeClr val="bg1"/>
                  </a:gs>
                </a:gsLst>
                <a:lin ang="5400000" scaled="1"/>
              </a:gradFill>
              <a:latin typeface="Arial Black" panose="020B0A04020102020204" pitchFamily="34" charset="0"/>
            </a:rPr>
            <a:t>❤</a:t>
          </a:r>
          <a:endParaRPr lang="pt-BR" sz="1400">
            <a:gradFill>
              <a:gsLst>
                <a:gs pos="27000">
                  <a:srgbClr val="FFFE88"/>
                </a:gs>
                <a:gs pos="78000">
                  <a:srgbClr val="D78F16"/>
                </a:gs>
                <a:gs pos="9000">
                  <a:schemeClr val="bg1"/>
                </a:gs>
              </a:gsLst>
              <a:lin ang="5400000" scaled="1"/>
            </a:gradFill>
            <a:latin typeface="Arial Black" panose="020B0A04020102020204" pitchFamily="34" charset="0"/>
          </a:endParaRPr>
        </a:p>
      </xdr:txBody>
    </xdr:sp>
    <xdr:clientData/>
  </xdr:twoCellAnchor>
  <xdr:twoCellAnchor editAs="absolute">
    <xdr:from>
      <xdr:col>0</xdr:col>
      <xdr:colOff>272143</xdr:colOff>
      <xdr:row>29</xdr:row>
      <xdr:rowOff>112350</xdr:rowOff>
    </xdr:from>
    <xdr:to>
      <xdr:col>0</xdr:col>
      <xdr:colOff>2271346</xdr:colOff>
      <xdr:row>29</xdr:row>
      <xdr:rowOff>112350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6A7443B0-83CA-4BD7-98FD-EC48F9FCA610}"/>
            </a:ext>
          </a:extLst>
        </xdr:cNvPr>
        <xdr:cNvCxnSpPr/>
      </xdr:nvCxnSpPr>
      <xdr:spPr>
        <a:xfrm>
          <a:off x="272143" y="5915967"/>
          <a:ext cx="1999203" cy="0"/>
        </a:xfrm>
        <a:prstGeom prst="line">
          <a:avLst/>
        </a:prstGeom>
        <a:ln>
          <a:gradFill>
            <a:gsLst>
              <a:gs pos="60000">
                <a:srgbClr val="D78F16"/>
              </a:gs>
              <a:gs pos="24000">
                <a:srgbClr val="FFFE88"/>
              </a:gs>
            </a:gsLst>
            <a:lin ang="5400000" scaled="1"/>
          </a:gra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1009650</xdr:colOff>
      <xdr:row>32</xdr:row>
      <xdr:rowOff>44731</xdr:rowOff>
    </xdr:from>
    <xdr:to>
      <xdr:col>0</xdr:col>
      <xdr:colOff>1707447</xdr:colOff>
      <xdr:row>36</xdr:row>
      <xdr:rowOff>8726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14AFC080-F3B6-48F2-B325-E95D4E190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9650" y="6419850"/>
          <a:ext cx="697797" cy="725993"/>
        </a:xfrm>
        <a:prstGeom prst="rect">
          <a:avLst/>
        </a:prstGeom>
      </xdr:spPr>
    </xdr:pic>
    <xdr:clientData/>
  </xdr:twoCellAnchor>
  <xdr:twoCellAnchor editAs="absolute">
    <xdr:from>
      <xdr:col>2</xdr:col>
      <xdr:colOff>2886703</xdr:colOff>
      <xdr:row>19</xdr:row>
      <xdr:rowOff>173320</xdr:rowOff>
    </xdr:from>
    <xdr:to>
      <xdr:col>4</xdr:col>
      <xdr:colOff>8985</xdr:colOff>
      <xdr:row>22</xdr:row>
      <xdr:rowOff>89977</xdr:rowOff>
    </xdr:to>
    <xdr:sp macro="" textlink="">
      <xdr:nvSpPr>
        <xdr:cNvPr id="11" name="Retângulo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78F38DD-3402-484C-6E8F-080FCC6666B1}"/>
            </a:ext>
          </a:extLst>
        </xdr:cNvPr>
        <xdr:cNvSpPr/>
      </xdr:nvSpPr>
      <xdr:spPr>
        <a:xfrm>
          <a:off x="6157552" y="4416994"/>
          <a:ext cx="2909169" cy="482765"/>
        </a:xfrm>
        <a:prstGeom prst="rect">
          <a:avLst/>
        </a:prstGeom>
        <a:gradFill flip="none" rotWithShape="1">
          <a:gsLst>
            <a:gs pos="27000">
              <a:srgbClr val="FFFE88">
                <a:alpha val="76000"/>
              </a:srgbClr>
            </a:gs>
            <a:gs pos="61000">
              <a:srgbClr val="D78F16">
                <a:alpha val="69000"/>
                <a:lumMod val="95000"/>
                <a:lumOff val="5000"/>
              </a:srgb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800" b="1">
              <a:solidFill>
                <a:schemeClr val="tx1">
                  <a:lumMod val="75000"/>
                  <a:lumOff val="2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PRÓXIMO</a:t>
          </a:r>
          <a:r>
            <a:rPr lang="pt-BR" sz="1800" b="1" baseline="0">
              <a:solidFill>
                <a:schemeClr val="tx1">
                  <a:lumMod val="75000"/>
                  <a:lumOff val="2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 &gt;</a:t>
          </a:r>
          <a:endParaRPr lang="pt-BR" sz="1800" b="1">
            <a:solidFill>
              <a:schemeClr val="tx1">
                <a:lumMod val="75000"/>
                <a:lumOff val="25000"/>
              </a:schemeClr>
            </a:solidFill>
            <a:latin typeface="ADLaM Display" panose="02010000000000000000" pitchFamily="2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114300</xdr:colOff>
      <xdr:row>0</xdr:row>
      <xdr:rowOff>85725</xdr:rowOff>
    </xdr:from>
    <xdr:to>
      <xdr:col>0</xdr:col>
      <xdr:colOff>2562225</xdr:colOff>
      <xdr:row>9</xdr:row>
      <xdr:rowOff>142875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7AB75F72-B267-4248-9751-03DE88D4219A}"/>
            </a:ext>
          </a:extLst>
        </xdr:cNvPr>
        <xdr:cNvGrpSpPr/>
      </xdr:nvGrpSpPr>
      <xdr:grpSpPr>
        <a:xfrm>
          <a:off x="114300" y="85725"/>
          <a:ext cx="2447925" cy="2224088"/>
          <a:chOff x="228600" y="257175"/>
          <a:chExt cx="2447925" cy="2219325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ECFF90C2-5186-01EE-0BA9-EBDA095E4C97}"/>
              </a:ext>
            </a:extLst>
          </xdr:cNvPr>
          <xdr:cNvSpPr/>
        </xdr:nvSpPr>
        <xdr:spPr>
          <a:xfrm>
            <a:off x="228600" y="257175"/>
            <a:ext cx="2447925" cy="666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3200" b="1">
                <a:gradFill flip="none" rotWithShape="1">
                  <a:gsLst>
                    <a:gs pos="11000">
                      <a:srgbClr val="FFFE88"/>
                    </a:gs>
                    <a:gs pos="76000">
                      <a:srgbClr val="D78F16"/>
                    </a:gs>
                  </a:gsLst>
                  <a:lin ang="0" scaled="1"/>
                  <a:tileRect/>
                </a:gradFill>
                <a:latin typeface="Arial Black" panose="020B0A04020102020204" pitchFamily="34" charset="0"/>
              </a:rPr>
              <a:t>LION</a:t>
            </a:r>
            <a:r>
              <a:rPr lang="pt-BR" sz="3200" b="1" baseline="0">
                <a:gradFill flip="none" rotWithShape="1">
                  <a:gsLst>
                    <a:gs pos="11000">
                      <a:srgbClr val="FFFE88"/>
                    </a:gs>
                    <a:gs pos="76000">
                      <a:srgbClr val="D78F16"/>
                    </a:gs>
                  </a:gsLst>
                  <a:lin ang="0" scaled="1"/>
                  <a:tileRect/>
                </a:gradFill>
                <a:latin typeface="Arial Black" panose="020B0A04020102020204" pitchFamily="34" charset="0"/>
              </a:rPr>
              <a:t> APP</a:t>
            </a:r>
            <a:endParaRPr lang="pt-BR" sz="3200" b="1">
              <a:gradFill flip="none" rotWithShape="1">
                <a:gsLst>
                  <a:gs pos="11000">
                    <a:srgbClr val="FFFE88"/>
                  </a:gs>
                  <a:gs pos="76000">
                    <a:srgbClr val="D78F16"/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endParaRPr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6A860475-5F86-FA38-0EC3-FE4A712CCBD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0164" t="7541" r="11147" b="6885"/>
          <a:stretch/>
        </xdr:blipFill>
        <xdr:spPr>
          <a:xfrm>
            <a:off x="760631" y="971550"/>
            <a:ext cx="1383862" cy="150495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162865</xdr:colOff>
      <xdr:row>10</xdr:row>
      <xdr:rowOff>178986</xdr:rowOff>
    </xdr:from>
    <xdr:to>
      <xdr:col>0</xdr:col>
      <xdr:colOff>2497014</xdr:colOff>
      <xdr:row>14</xdr:row>
      <xdr:rowOff>79027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17B36B1-A9DD-4438-8CB2-B42E20AB3A4A}"/>
            </a:ext>
          </a:extLst>
        </xdr:cNvPr>
        <xdr:cNvSpPr/>
      </xdr:nvSpPr>
      <xdr:spPr>
        <a:xfrm>
          <a:off x="162865" y="2531661"/>
          <a:ext cx="2334149" cy="695378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chemeClr val="tx1">
                  <a:lumMod val="75000"/>
                  <a:lumOff val="2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TITULAR</a:t>
          </a:r>
        </a:p>
      </xdr:txBody>
    </xdr:sp>
    <xdr:clientData/>
  </xdr:twoCellAnchor>
  <xdr:twoCellAnchor editAs="absolute">
    <xdr:from>
      <xdr:col>0</xdr:col>
      <xdr:colOff>162865</xdr:colOff>
      <xdr:row>15</xdr:row>
      <xdr:rowOff>97709</xdr:rowOff>
    </xdr:from>
    <xdr:to>
      <xdr:col>0</xdr:col>
      <xdr:colOff>2497014</xdr:colOff>
      <xdr:row>18</xdr:row>
      <xdr:rowOff>188250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CF5389D-105F-464B-A975-A14E6455C881}"/>
            </a:ext>
          </a:extLst>
        </xdr:cNvPr>
        <xdr:cNvSpPr/>
      </xdr:nvSpPr>
      <xdr:spPr>
        <a:xfrm>
          <a:off x="162865" y="3455272"/>
          <a:ext cx="2334149" cy="695378"/>
        </a:xfrm>
        <a:prstGeom prst="roundRect">
          <a:avLst>
            <a:gd name="adj" fmla="val 50000"/>
          </a:avLst>
        </a:prstGeom>
        <a:gradFill flip="none" rotWithShape="1">
          <a:gsLst>
            <a:gs pos="27000">
              <a:srgbClr val="FFFE88">
                <a:alpha val="76000"/>
              </a:srgbClr>
            </a:gs>
            <a:gs pos="61000">
              <a:srgbClr val="D78F16">
                <a:alpha val="69000"/>
                <a:lumMod val="95000"/>
                <a:lumOff val="5000"/>
              </a:srgb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chemeClr val="tx1">
                  <a:lumMod val="75000"/>
                  <a:lumOff val="2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162865</xdr:colOff>
      <xdr:row>20</xdr:row>
      <xdr:rowOff>16432</xdr:rowOff>
    </xdr:from>
    <xdr:to>
      <xdr:col>0</xdr:col>
      <xdr:colOff>2497014</xdr:colOff>
      <xdr:row>23</xdr:row>
      <xdr:rowOff>106973</xdr:rowOff>
    </xdr:to>
    <xdr:sp macro="" textlink="">
      <xdr:nvSpPr>
        <xdr:cNvPr id="7" name="Retângulo: Cantos Arredondado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989CD00-FDC4-4F44-9978-736E8C4876AE}"/>
            </a:ext>
          </a:extLst>
        </xdr:cNvPr>
        <xdr:cNvSpPr/>
      </xdr:nvSpPr>
      <xdr:spPr>
        <a:xfrm>
          <a:off x="162865" y="4378882"/>
          <a:ext cx="2334149" cy="709666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chemeClr val="tx1">
                  <a:lumMod val="75000"/>
                  <a:lumOff val="2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NOTAS</a:t>
          </a:r>
        </a:p>
      </xdr:txBody>
    </xdr:sp>
    <xdr:clientData/>
  </xdr:twoCellAnchor>
  <xdr:twoCellAnchor editAs="absolute">
    <xdr:from>
      <xdr:col>0</xdr:col>
      <xdr:colOff>314011</xdr:colOff>
      <xdr:row>29</xdr:row>
      <xdr:rowOff>79027</xdr:rowOff>
    </xdr:from>
    <xdr:to>
      <xdr:col>0</xdr:col>
      <xdr:colOff>2229477</xdr:colOff>
      <xdr:row>31</xdr:row>
      <xdr:rowOff>79026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F229BEB2-7BA3-44E6-A5D8-DBB8BC30C100}"/>
            </a:ext>
          </a:extLst>
        </xdr:cNvPr>
        <xdr:cNvSpPr/>
      </xdr:nvSpPr>
      <xdr:spPr>
        <a:xfrm>
          <a:off x="314011" y="6203602"/>
          <a:ext cx="1915466" cy="380999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>
                  <a:lumMod val="90000"/>
                </a:schemeClr>
              </a:solidFill>
              <a:latin typeface="Arial Black" panose="020B0A04020102020204" pitchFamily="34" charset="0"/>
            </a:rPr>
            <a:t>SYSTEM BY ALAN </a:t>
          </a:r>
          <a:r>
            <a:rPr lang="pt-BR" sz="1400" baseline="0">
              <a:gradFill>
                <a:gsLst>
                  <a:gs pos="27000">
                    <a:srgbClr val="FFFE88"/>
                  </a:gs>
                  <a:gs pos="78000">
                    <a:srgbClr val="D78F16"/>
                  </a:gs>
                  <a:gs pos="9000">
                    <a:schemeClr val="bg1"/>
                  </a:gs>
                </a:gsLst>
                <a:lin ang="5400000" scaled="1"/>
              </a:gradFill>
              <a:latin typeface="Arial Black" panose="020B0A04020102020204" pitchFamily="34" charset="0"/>
            </a:rPr>
            <a:t>❤</a:t>
          </a:r>
          <a:endParaRPr lang="pt-BR" sz="1400">
            <a:gradFill>
              <a:gsLst>
                <a:gs pos="27000">
                  <a:srgbClr val="FFFE88"/>
                </a:gs>
                <a:gs pos="78000">
                  <a:srgbClr val="D78F16"/>
                </a:gs>
                <a:gs pos="9000">
                  <a:schemeClr val="bg1"/>
                </a:gs>
              </a:gsLst>
              <a:lin ang="5400000" scaled="1"/>
            </a:gradFill>
            <a:latin typeface="Arial Black" panose="020B0A04020102020204" pitchFamily="34" charset="0"/>
          </a:endParaRPr>
        </a:p>
      </xdr:txBody>
    </xdr:sp>
    <xdr:clientData/>
  </xdr:twoCellAnchor>
  <xdr:twoCellAnchor editAs="absolute">
    <xdr:from>
      <xdr:col>0</xdr:col>
      <xdr:colOff>272143</xdr:colOff>
      <xdr:row>29</xdr:row>
      <xdr:rowOff>58092</xdr:rowOff>
    </xdr:from>
    <xdr:to>
      <xdr:col>0</xdr:col>
      <xdr:colOff>2271346</xdr:colOff>
      <xdr:row>29</xdr:row>
      <xdr:rowOff>58092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6144F817-F696-40DD-B8A9-C9B11264DC0A}"/>
            </a:ext>
          </a:extLst>
        </xdr:cNvPr>
        <xdr:cNvCxnSpPr/>
      </xdr:nvCxnSpPr>
      <xdr:spPr>
        <a:xfrm>
          <a:off x="272143" y="6182667"/>
          <a:ext cx="1999203" cy="0"/>
        </a:xfrm>
        <a:prstGeom prst="line">
          <a:avLst/>
        </a:prstGeom>
        <a:ln>
          <a:gradFill>
            <a:gsLst>
              <a:gs pos="60000">
                <a:srgbClr val="D78F16"/>
              </a:gs>
              <a:gs pos="24000">
                <a:srgbClr val="FFFE88"/>
              </a:gs>
            </a:gsLst>
            <a:lin ang="5400000" scaled="1"/>
          </a:gra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1009650</xdr:colOff>
      <xdr:row>31</xdr:row>
      <xdr:rowOff>180975</xdr:rowOff>
    </xdr:from>
    <xdr:to>
      <xdr:col>0</xdr:col>
      <xdr:colOff>1707447</xdr:colOff>
      <xdr:row>35</xdr:row>
      <xdr:rowOff>144968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A4139647-6444-4B2E-BF28-21DB2529E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9650" y="6686550"/>
          <a:ext cx="697797" cy="725993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23</xdr:row>
      <xdr:rowOff>17862</xdr:rowOff>
    </xdr:from>
    <xdr:to>
      <xdr:col>4</xdr:col>
      <xdr:colOff>15950</xdr:colOff>
      <xdr:row>25</xdr:row>
      <xdr:rowOff>119627</xdr:rowOff>
    </xdr:to>
    <xdr:sp macro="" textlink="">
      <xdr:nvSpPr>
        <xdr:cNvPr id="12" name="Retângul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B788BF2-32FC-4E40-82CA-3AE329E86A98}"/>
            </a:ext>
          </a:extLst>
        </xdr:cNvPr>
        <xdr:cNvSpPr/>
      </xdr:nvSpPr>
      <xdr:spPr>
        <a:xfrm>
          <a:off x="6155531" y="5066112"/>
          <a:ext cx="2909169" cy="482765"/>
        </a:xfrm>
        <a:prstGeom prst="rect">
          <a:avLst/>
        </a:prstGeom>
        <a:gradFill flip="none" rotWithShape="1">
          <a:gsLst>
            <a:gs pos="27000">
              <a:srgbClr val="FFFE88">
                <a:alpha val="76000"/>
              </a:srgbClr>
            </a:gs>
            <a:gs pos="61000">
              <a:srgbClr val="D78F16">
                <a:alpha val="69000"/>
                <a:lumMod val="95000"/>
                <a:lumOff val="5000"/>
              </a:srgb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800" b="1">
              <a:solidFill>
                <a:schemeClr val="tx1">
                  <a:lumMod val="75000"/>
                  <a:lumOff val="2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PRÓXIMO</a:t>
          </a:r>
          <a:r>
            <a:rPr lang="pt-BR" sz="1800" b="1" baseline="0">
              <a:solidFill>
                <a:schemeClr val="tx1">
                  <a:lumMod val="75000"/>
                  <a:lumOff val="2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 &gt;</a:t>
          </a:r>
          <a:endParaRPr lang="pt-BR" sz="1800" b="1">
            <a:solidFill>
              <a:schemeClr val="tx1">
                <a:lumMod val="75000"/>
                <a:lumOff val="25000"/>
              </a:schemeClr>
            </a:solidFill>
            <a:latin typeface="ADLaM Display" panose="02010000000000000000" pitchFamily="2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  <xdr:twoCellAnchor editAs="absolute">
    <xdr:from>
      <xdr:col>1</xdr:col>
      <xdr:colOff>535780</xdr:colOff>
      <xdr:row>23</xdr:row>
      <xdr:rowOff>17862</xdr:rowOff>
    </xdr:from>
    <xdr:to>
      <xdr:col>2</xdr:col>
      <xdr:colOff>2837730</xdr:colOff>
      <xdr:row>25</xdr:row>
      <xdr:rowOff>119627</xdr:rowOff>
    </xdr:to>
    <xdr:sp macro="" textlink="">
      <xdr:nvSpPr>
        <xdr:cNvPr id="14" name="Retângul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BD5A8E-C2BE-4231-9D22-5E47E22EBB73}"/>
            </a:ext>
          </a:extLst>
        </xdr:cNvPr>
        <xdr:cNvSpPr/>
      </xdr:nvSpPr>
      <xdr:spPr>
        <a:xfrm>
          <a:off x="3190874" y="5066112"/>
          <a:ext cx="2909169" cy="482765"/>
        </a:xfrm>
        <a:prstGeom prst="rect">
          <a:avLst/>
        </a:prstGeom>
        <a:gradFill flip="none" rotWithShape="1">
          <a:gsLst>
            <a:gs pos="27000">
              <a:srgbClr val="FFFE88">
                <a:alpha val="76000"/>
              </a:srgbClr>
            </a:gs>
            <a:gs pos="61000">
              <a:srgbClr val="D78F16">
                <a:alpha val="69000"/>
                <a:lumMod val="95000"/>
                <a:lumOff val="5000"/>
              </a:srgb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800" b="1">
              <a:solidFill>
                <a:schemeClr val="tx1">
                  <a:lumMod val="75000"/>
                  <a:lumOff val="2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&lt; ANTERIOR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114300</xdr:colOff>
      <xdr:row>0</xdr:row>
      <xdr:rowOff>85725</xdr:rowOff>
    </xdr:from>
    <xdr:to>
      <xdr:col>0</xdr:col>
      <xdr:colOff>2562225</xdr:colOff>
      <xdr:row>10</xdr:row>
      <xdr:rowOff>59532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758E99EA-8D7E-4D38-A0C2-996F718F044F}"/>
            </a:ext>
          </a:extLst>
        </xdr:cNvPr>
        <xdr:cNvGrpSpPr/>
      </xdr:nvGrpSpPr>
      <xdr:grpSpPr>
        <a:xfrm>
          <a:off x="114300" y="85725"/>
          <a:ext cx="2447925" cy="2224088"/>
          <a:chOff x="228600" y="257175"/>
          <a:chExt cx="2447925" cy="2219325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6C2064F9-289D-0598-34C9-F819231F5DE2}"/>
              </a:ext>
            </a:extLst>
          </xdr:cNvPr>
          <xdr:cNvSpPr/>
        </xdr:nvSpPr>
        <xdr:spPr>
          <a:xfrm>
            <a:off x="228600" y="257175"/>
            <a:ext cx="2447925" cy="666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3200" b="1">
                <a:gradFill flip="none" rotWithShape="1">
                  <a:gsLst>
                    <a:gs pos="11000">
                      <a:srgbClr val="FFFE88"/>
                    </a:gs>
                    <a:gs pos="76000">
                      <a:srgbClr val="D78F16"/>
                    </a:gs>
                  </a:gsLst>
                  <a:lin ang="0" scaled="1"/>
                  <a:tileRect/>
                </a:gradFill>
                <a:latin typeface="Arial Black" panose="020B0A04020102020204" pitchFamily="34" charset="0"/>
              </a:rPr>
              <a:t>LION</a:t>
            </a:r>
            <a:r>
              <a:rPr lang="pt-BR" sz="3200" b="1" baseline="0">
                <a:gradFill flip="none" rotWithShape="1">
                  <a:gsLst>
                    <a:gs pos="11000">
                      <a:srgbClr val="FFFE88"/>
                    </a:gs>
                    <a:gs pos="76000">
                      <a:srgbClr val="D78F16"/>
                    </a:gs>
                  </a:gsLst>
                  <a:lin ang="0" scaled="1"/>
                  <a:tileRect/>
                </a:gradFill>
                <a:latin typeface="Arial Black" panose="020B0A04020102020204" pitchFamily="34" charset="0"/>
              </a:rPr>
              <a:t> APP</a:t>
            </a:r>
            <a:endParaRPr lang="pt-BR" sz="3200" b="1">
              <a:gradFill flip="none" rotWithShape="1">
                <a:gsLst>
                  <a:gs pos="11000">
                    <a:srgbClr val="FFFE88"/>
                  </a:gs>
                  <a:gs pos="76000">
                    <a:srgbClr val="D78F16"/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endParaRPr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F4F4E02D-4D13-DB05-6DCC-81968F10DFDB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0164" t="7541" r="11147" b="6885"/>
          <a:stretch/>
        </xdr:blipFill>
        <xdr:spPr>
          <a:xfrm>
            <a:off x="760631" y="971550"/>
            <a:ext cx="1383862" cy="150495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162865</xdr:colOff>
      <xdr:row>11</xdr:row>
      <xdr:rowOff>119455</xdr:rowOff>
    </xdr:from>
    <xdr:to>
      <xdr:col>0</xdr:col>
      <xdr:colOff>2497014</xdr:colOff>
      <xdr:row>15</xdr:row>
      <xdr:rowOff>67121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295339D-23A3-4146-9BEC-C223FE3BA24F}"/>
            </a:ext>
          </a:extLst>
        </xdr:cNvPr>
        <xdr:cNvSpPr/>
      </xdr:nvSpPr>
      <xdr:spPr>
        <a:xfrm>
          <a:off x="162865" y="2531661"/>
          <a:ext cx="2334149" cy="695378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chemeClr val="tx1">
                  <a:lumMod val="75000"/>
                  <a:lumOff val="2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TITULAR</a:t>
          </a:r>
        </a:p>
      </xdr:txBody>
    </xdr:sp>
    <xdr:clientData/>
  </xdr:twoCellAnchor>
  <xdr:twoCellAnchor editAs="absolute">
    <xdr:from>
      <xdr:col>0</xdr:col>
      <xdr:colOff>162865</xdr:colOff>
      <xdr:row>16</xdr:row>
      <xdr:rowOff>109616</xdr:rowOff>
    </xdr:from>
    <xdr:to>
      <xdr:col>0</xdr:col>
      <xdr:colOff>2497014</xdr:colOff>
      <xdr:row>20</xdr:row>
      <xdr:rowOff>57282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799402A-656D-4163-8074-A74CCDAC0A9B}"/>
            </a:ext>
          </a:extLst>
        </xdr:cNvPr>
        <xdr:cNvSpPr/>
      </xdr:nvSpPr>
      <xdr:spPr>
        <a:xfrm>
          <a:off x="162865" y="3455272"/>
          <a:ext cx="2334149" cy="695378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chemeClr val="tx1">
                  <a:lumMod val="75000"/>
                  <a:lumOff val="2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162865</xdr:colOff>
      <xdr:row>21</xdr:row>
      <xdr:rowOff>99776</xdr:rowOff>
    </xdr:from>
    <xdr:to>
      <xdr:col>0</xdr:col>
      <xdr:colOff>2497014</xdr:colOff>
      <xdr:row>25</xdr:row>
      <xdr:rowOff>47442</xdr:rowOff>
    </xdr:to>
    <xdr:sp macro="" textlink="">
      <xdr:nvSpPr>
        <xdr:cNvPr id="7" name="Retângulo: Cantos Arredondado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B884943-F15E-4287-86DE-8640F89D7C16}"/>
            </a:ext>
          </a:extLst>
        </xdr:cNvPr>
        <xdr:cNvSpPr/>
      </xdr:nvSpPr>
      <xdr:spPr>
        <a:xfrm>
          <a:off x="162865" y="4378882"/>
          <a:ext cx="2334149" cy="709666"/>
        </a:xfrm>
        <a:prstGeom prst="roundRect">
          <a:avLst>
            <a:gd name="adj" fmla="val 50000"/>
          </a:avLst>
        </a:prstGeom>
        <a:gradFill flip="none" rotWithShape="1">
          <a:gsLst>
            <a:gs pos="27000">
              <a:srgbClr val="FFFE88">
                <a:alpha val="76000"/>
              </a:srgbClr>
            </a:gs>
            <a:gs pos="61000">
              <a:srgbClr val="D78F16">
                <a:alpha val="69000"/>
                <a:lumMod val="95000"/>
                <a:lumOff val="5000"/>
              </a:srgb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chemeClr val="tx1">
                  <a:lumMod val="75000"/>
                  <a:lumOff val="2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NOTAS</a:t>
          </a:r>
        </a:p>
      </xdr:txBody>
    </xdr:sp>
    <xdr:clientData/>
  </xdr:twoCellAnchor>
  <xdr:twoCellAnchor editAs="absolute">
    <xdr:from>
      <xdr:col>0</xdr:col>
      <xdr:colOff>314011</xdr:colOff>
      <xdr:row>31</xdr:row>
      <xdr:rowOff>19496</xdr:rowOff>
    </xdr:from>
    <xdr:to>
      <xdr:col>0</xdr:col>
      <xdr:colOff>2229477</xdr:colOff>
      <xdr:row>33</xdr:row>
      <xdr:rowOff>19495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10DB1D90-664B-474D-8EB7-4340A5F6370B}"/>
            </a:ext>
          </a:extLst>
        </xdr:cNvPr>
        <xdr:cNvSpPr/>
      </xdr:nvSpPr>
      <xdr:spPr>
        <a:xfrm>
          <a:off x="314011" y="6203602"/>
          <a:ext cx="1915466" cy="380999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>
                  <a:lumMod val="90000"/>
                </a:schemeClr>
              </a:solidFill>
              <a:latin typeface="Arial Black" panose="020B0A04020102020204" pitchFamily="34" charset="0"/>
            </a:rPr>
            <a:t>SYSTEM BY ALAN </a:t>
          </a:r>
          <a:r>
            <a:rPr lang="pt-BR" sz="1400" baseline="0">
              <a:gradFill>
                <a:gsLst>
                  <a:gs pos="27000">
                    <a:srgbClr val="FFFE88"/>
                  </a:gs>
                  <a:gs pos="78000">
                    <a:srgbClr val="D78F16"/>
                  </a:gs>
                  <a:gs pos="9000">
                    <a:schemeClr val="bg1"/>
                  </a:gs>
                </a:gsLst>
                <a:lin ang="5400000" scaled="1"/>
              </a:gradFill>
              <a:latin typeface="Arial Black" panose="020B0A04020102020204" pitchFamily="34" charset="0"/>
            </a:rPr>
            <a:t>❤</a:t>
          </a:r>
          <a:endParaRPr lang="pt-BR" sz="1400">
            <a:gradFill>
              <a:gsLst>
                <a:gs pos="27000">
                  <a:srgbClr val="FFFE88"/>
                </a:gs>
                <a:gs pos="78000">
                  <a:srgbClr val="D78F16"/>
                </a:gs>
                <a:gs pos="9000">
                  <a:schemeClr val="bg1"/>
                </a:gs>
              </a:gsLst>
              <a:lin ang="5400000" scaled="1"/>
            </a:gradFill>
            <a:latin typeface="Arial Black" panose="020B0A04020102020204" pitchFamily="34" charset="0"/>
          </a:endParaRPr>
        </a:p>
      </xdr:txBody>
    </xdr:sp>
    <xdr:clientData/>
  </xdr:twoCellAnchor>
  <xdr:twoCellAnchor editAs="absolute">
    <xdr:from>
      <xdr:col>0</xdr:col>
      <xdr:colOff>272143</xdr:colOff>
      <xdr:row>30</xdr:row>
      <xdr:rowOff>189061</xdr:rowOff>
    </xdr:from>
    <xdr:to>
      <xdr:col>0</xdr:col>
      <xdr:colOff>2271346</xdr:colOff>
      <xdr:row>30</xdr:row>
      <xdr:rowOff>189061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68266443-5836-4E78-80DD-31FDBDBD5459}"/>
            </a:ext>
          </a:extLst>
        </xdr:cNvPr>
        <xdr:cNvCxnSpPr/>
      </xdr:nvCxnSpPr>
      <xdr:spPr>
        <a:xfrm>
          <a:off x="272143" y="6182667"/>
          <a:ext cx="1999203" cy="0"/>
        </a:xfrm>
        <a:prstGeom prst="line">
          <a:avLst/>
        </a:prstGeom>
        <a:ln>
          <a:gradFill>
            <a:gsLst>
              <a:gs pos="60000">
                <a:srgbClr val="D78F16"/>
              </a:gs>
              <a:gs pos="24000">
                <a:srgbClr val="FFFE88"/>
              </a:gs>
            </a:gsLst>
            <a:lin ang="5400000" scaled="1"/>
          </a:gra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1009650</xdr:colOff>
      <xdr:row>33</xdr:row>
      <xdr:rowOff>121444</xdr:rowOff>
    </xdr:from>
    <xdr:to>
      <xdr:col>0</xdr:col>
      <xdr:colOff>1707447</xdr:colOff>
      <xdr:row>37</xdr:row>
      <xdr:rowOff>85437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EDEC9306-8D97-46DB-B92C-8C09CB11CC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9650" y="6686550"/>
          <a:ext cx="697797" cy="725993"/>
        </a:xfrm>
        <a:prstGeom prst="rect">
          <a:avLst/>
        </a:prstGeom>
      </xdr:spPr>
    </xdr:pic>
    <xdr:clientData/>
  </xdr:twoCellAnchor>
  <xdr:twoCellAnchor editAs="absolute">
    <xdr:from>
      <xdr:col>1</xdr:col>
      <xdr:colOff>595312</xdr:colOff>
      <xdr:row>4</xdr:row>
      <xdr:rowOff>47625</xdr:rowOff>
    </xdr:from>
    <xdr:to>
      <xdr:col>3</xdr:col>
      <xdr:colOff>873200</xdr:colOff>
      <xdr:row>6</xdr:row>
      <xdr:rowOff>149390</xdr:rowOff>
    </xdr:to>
    <xdr:sp macro="" textlink="">
      <xdr:nvSpPr>
        <xdr:cNvPr id="12" name="Retângulo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25F2ACD-5DDB-46F4-A6D4-20C6BD989736}"/>
            </a:ext>
          </a:extLst>
        </xdr:cNvPr>
        <xdr:cNvSpPr/>
      </xdr:nvSpPr>
      <xdr:spPr>
        <a:xfrm>
          <a:off x="3250406" y="1095375"/>
          <a:ext cx="2909169" cy="482765"/>
        </a:xfrm>
        <a:prstGeom prst="rect">
          <a:avLst/>
        </a:prstGeom>
        <a:gradFill flip="none" rotWithShape="1">
          <a:gsLst>
            <a:gs pos="27000">
              <a:srgbClr val="FFFE88">
                <a:alpha val="76000"/>
              </a:srgbClr>
            </a:gs>
            <a:gs pos="61000">
              <a:srgbClr val="D78F16">
                <a:alpha val="69000"/>
                <a:lumMod val="95000"/>
                <a:lumOff val="5000"/>
              </a:srgb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800" b="1">
              <a:solidFill>
                <a:schemeClr val="tx1">
                  <a:lumMod val="75000"/>
                  <a:lumOff val="2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&lt; ANTERIOR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ABCC321-7BBF-4C2D-8B90-F28F08FE6BD0}" name="Tabela3" displayName="Tabela3" ref="C9:E159" totalsRowShown="0" headerRowDxfId="8" dataDxfId="7">
  <autoFilter ref="C9:E159" xr:uid="{0ABCC321-7BBF-4C2D-8B90-F28F08FE6BD0}"/>
  <tableColumns count="3">
    <tableColumn id="1" xr3:uid="{8C009ECB-BD09-444A-B45F-773806D8AFAA}" name="DATA" dataDxfId="6"/>
    <tableColumn id="2" xr3:uid="{8B8D25EB-DD6D-4A42-8569-933FBAA0E369}" name="CATEGORIA" dataDxfId="5"/>
    <tableColumn id="3" xr3:uid="{6F52014D-0E96-4A49-8C42-D71131B417E8}" name="VALOR" dataDxfId="4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821F21-CE70-4326-999F-47EB7355C846}" name="Tab_CodBancos" displayName="Tab_CodBancos" ref="A1:A51" totalsRowShown="0" headerRowDxfId="3" dataDxfId="2" tableBorderDxfId="1">
  <autoFilter ref="A1:A51" xr:uid="{10821F21-CE70-4326-999F-47EB7355C846}"/>
  <tableColumns count="1">
    <tableColumn id="1" xr3:uid="{D1787A47-9523-4C47-B557-3F7A871DF431}" name="BANCO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75B76-7E60-4936-B4C7-5BD271E09087}">
  <sheetPr codeName="Planilha1"/>
  <dimension ref="A3:E19"/>
  <sheetViews>
    <sheetView showGridLines="0" showRowColHeaders="0" zoomScale="80" zoomScaleNormal="80" workbookViewId="0">
      <selection activeCell="D6" sqref="D6"/>
    </sheetView>
  </sheetViews>
  <sheetFormatPr defaultRowHeight="15" x14ac:dyDescent="0.25"/>
  <cols>
    <col min="1" max="1" width="39.85546875" style="1" customWidth="1"/>
    <col min="3" max="4" width="43.42578125" customWidth="1"/>
  </cols>
  <sheetData>
    <row r="3" spans="3:5" ht="24.75" thickBot="1" x14ac:dyDescent="0.45">
      <c r="C3" s="6" t="s">
        <v>14</v>
      </c>
      <c r="D3" s="5"/>
      <c r="E3" s="5"/>
    </row>
    <row r="4" spans="3:5" ht="27.75" customHeight="1" thickTop="1" x14ac:dyDescent="0.25">
      <c r="C4" s="25" t="s">
        <v>15</v>
      </c>
      <c r="D4" s="25"/>
      <c r="E4" s="25"/>
    </row>
    <row r="6" spans="3:5" ht="17.25" x14ac:dyDescent="0.3">
      <c r="C6" s="2" t="s">
        <v>0</v>
      </c>
      <c r="D6" s="22"/>
    </row>
    <row r="7" spans="3:5" ht="17.25" x14ac:dyDescent="0.3">
      <c r="C7" s="3" t="s">
        <v>1</v>
      </c>
      <c r="D7" s="22"/>
    </row>
    <row r="8" spans="3:5" ht="17.25" x14ac:dyDescent="0.3">
      <c r="C8" s="3" t="s">
        <v>2</v>
      </c>
      <c r="D8" s="22"/>
    </row>
    <row r="9" spans="3:5" ht="17.25" x14ac:dyDescent="0.3">
      <c r="C9" s="3" t="s">
        <v>3</v>
      </c>
      <c r="D9" s="22"/>
    </row>
    <row r="10" spans="3:5" ht="17.25" x14ac:dyDescent="0.3">
      <c r="C10" s="3" t="s">
        <v>4</v>
      </c>
      <c r="D10" s="22"/>
    </row>
    <row r="11" spans="3:5" ht="17.25" x14ac:dyDescent="0.3">
      <c r="C11" s="3" t="s">
        <v>5</v>
      </c>
      <c r="D11" s="22"/>
    </row>
    <row r="12" spans="3:5" ht="17.25" x14ac:dyDescent="0.3">
      <c r="C12" s="3" t="s">
        <v>6</v>
      </c>
      <c r="D12" s="22"/>
    </row>
    <row r="13" spans="3:5" ht="17.25" x14ac:dyDescent="0.3">
      <c r="C13" s="3" t="s">
        <v>7</v>
      </c>
      <c r="D13" s="22"/>
    </row>
    <row r="14" spans="3:5" ht="17.25" x14ac:dyDescent="0.3">
      <c r="C14" s="3" t="s">
        <v>8</v>
      </c>
      <c r="D14" s="22"/>
    </row>
    <row r="15" spans="3:5" ht="17.25" x14ac:dyDescent="0.3">
      <c r="C15" s="3" t="s">
        <v>9</v>
      </c>
      <c r="D15" s="22"/>
    </row>
    <row r="16" spans="3:5" ht="17.25" x14ac:dyDescent="0.3">
      <c r="C16" s="3" t="s">
        <v>10</v>
      </c>
      <c r="D16" s="22"/>
    </row>
    <row r="17" spans="3:4" ht="17.25" x14ac:dyDescent="0.3">
      <c r="C17" s="3" t="s">
        <v>11</v>
      </c>
      <c r="D17" s="22"/>
    </row>
    <row r="18" spans="3:4" ht="17.25" x14ac:dyDescent="0.3">
      <c r="C18" s="3" t="s">
        <v>12</v>
      </c>
      <c r="D18" s="22"/>
    </row>
    <row r="19" spans="3:4" ht="17.25" x14ac:dyDescent="0.3">
      <c r="C19" s="4" t="s">
        <v>13</v>
      </c>
      <c r="D19" s="24"/>
    </row>
  </sheetData>
  <sheetProtection sheet="1" objects="1" scenarios="1" selectLockedCells="1"/>
  <mergeCells count="1">
    <mergeCell ref="C4:E4"/>
  </mergeCells>
  <dataValidations count="1">
    <dataValidation type="list" allowBlank="1" showInputMessage="1" showErrorMessage="1" sqref="D17:D19" xr:uid="{20866D7A-F4CD-4E89-A82B-255CA6FD8FFE}">
      <formula1>"SIM,NÃO"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40866-3249-4F04-9AD6-4770C6130F53}">
  <sheetPr codeName="Planilha2"/>
  <dimension ref="A3:E22"/>
  <sheetViews>
    <sheetView showGridLines="0" showRowColHeaders="0" zoomScale="80" zoomScaleNormal="80" workbookViewId="0">
      <selection activeCell="D12" sqref="D12"/>
    </sheetView>
  </sheetViews>
  <sheetFormatPr defaultRowHeight="15" x14ac:dyDescent="0.25"/>
  <cols>
    <col min="1" max="1" width="39.85546875" style="1" customWidth="1"/>
    <col min="3" max="4" width="43.42578125" customWidth="1"/>
  </cols>
  <sheetData>
    <row r="3" spans="3:5" ht="24.75" thickBot="1" x14ac:dyDescent="0.45">
      <c r="C3" s="6" t="s">
        <v>16</v>
      </c>
      <c r="D3" s="5"/>
      <c r="E3" s="5"/>
    </row>
    <row r="4" spans="3:5" ht="27.75" customHeight="1" thickTop="1" x14ac:dyDescent="0.25">
      <c r="C4" s="25" t="s">
        <v>17</v>
      </c>
      <c r="D4" s="25"/>
      <c r="E4" s="25"/>
    </row>
    <row r="6" spans="3:5" ht="18.75" x14ac:dyDescent="0.3">
      <c r="C6" s="13" t="s">
        <v>75</v>
      </c>
      <c r="D6" s="14"/>
    </row>
    <row r="7" spans="3:5" ht="24" x14ac:dyDescent="0.4">
      <c r="C7" s="26">
        <f>SUM(D11,D16,D21)</f>
        <v>51580</v>
      </c>
      <c r="D7" s="27"/>
    </row>
    <row r="9" spans="3:5" x14ac:dyDescent="0.25">
      <c r="C9" s="12" t="s">
        <v>72</v>
      </c>
    </row>
    <row r="10" spans="3:5" ht="17.25" x14ac:dyDescent="0.3">
      <c r="C10" s="2" t="s">
        <v>18</v>
      </c>
      <c r="D10" s="22" t="s">
        <v>23</v>
      </c>
    </row>
    <row r="11" spans="3:5" ht="17.25" x14ac:dyDescent="0.3">
      <c r="C11" s="2" t="s">
        <v>19</v>
      </c>
      <c r="D11" s="23">
        <v>25000</v>
      </c>
    </row>
    <row r="12" spans="3:5" ht="17.25" x14ac:dyDescent="0.3">
      <c r="C12" s="2" t="s">
        <v>20</v>
      </c>
      <c r="D12" s="22"/>
    </row>
    <row r="14" spans="3:5" x14ac:dyDescent="0.25">
      <c r="C14" s="12" t="s">
        <v>73</v>
      </c>
    </row>
    <row r="15" spans="3:5" ht="17.25" x14ac:dyDescent="0.3">
      <c r="C15" s="2" t="s">
        <v>18</v>
      </c>
      <c r="D15" s="22" t="s">
        <v>23</v>
      </c>
    </row>
    <row r="16" spans="3:5" ht="17.25" x14ac:dyDescent="0.3">
      <c r="C16" s="2" t="s">
        <v>19</v>
      </c>
      <c r="D16" s="23">
        <v>16580</v>
      </c>
    </row>
    <row r="17" spans="3:4" ht="17.25" x14ac:dyDescent="0.3">
      <c r="C17" s="2" t="s">
        <v>20</v>
      </c>
      <c r="D17" s="22"/>
    </row>
    <row r="19" spans="3:4" x14ac:dyDescent="0.25">
      <c r="C19" s="12" t="s">
        <v>74</v>
      </c>
    </row>
    <row r="20" spans="3:4" ht="17.25" x14ac:dyDescent="0.3">
      <c r="C20" s="2" t="s">
        <v>18</v>
      </c>
      <c r="D20" s="22" t="s">
        <v>23</v>
      </c>
    </row>
    <row r="21" spans="3:4" ht="17.25" x14ac:dyDescent="0.3">
      <c r="C21" s="2" t="s">
        <v>19</v>
      </c>
      <c r="D21" s="23">
        <v>10000</v>
      </c>
    </row>
    <row r="22" spans="3:4" ht="17.25" x14ac:dyDescent="0.3">
      <c r="C22" s="2" t="s">
        <v>20</v>
      </c>
      <c r="D22" s="22"/>
    </row>
  </sheetData>
  <sheetProtection sheet="1" objects="1" scenarios="1" selectLockedCells="1"/>
  <mergeCells count="2">
    <mergeCell ref="C4:E4"/>
    <mergeCell ref="C7:D7"/>
  </mergeCells>
  <dataValidations count="1">
    <dataValidation type="list" allowBlank="1" showInputMessage="1" showErrorMessage="1" errorTitle="BANCO NÃO ENCONTRADO" error="Digite um banco que esteja na lista." promptTitle="INFORME UM BANCO" prompt="Informe um banco vinculado ao seu CPF" sqref="D10 D15 D20" xr:uid="{9D872FA8-62E6-4363-9F80-79CC61039698}">
      <formula1>ListaDinamica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62310-DDD9-49D9-A1BB-6AF7A4EF8938}">
  <sheetPr codeName="Planilha3"/>
  <dimension ref="A3:E159"/>
  <sheetViews>
    <sheetView showGridLines="0" showRowColHeaders="0" tabSelected="1" zoomScale="80" zoomScaleNormal="80" workbookViewId="0">
      <selection activeCell="C12" sqref="C12"/>
    </sheetView>
  </sheetViews>
  <sheetFormatPr defaultRowHeight="15" x14ac:dyDescent="0.25"/>
  <cols>
    <col min="1" max="1" width="39.85546875" style="1" customWidth="1"/>
    <col min="3" max="5" width="30.42578125" customWidth="1"/>
  </cols>
  <sheetData>
    <row r="3" spans="3:5" ht="24.75" thickBot="1" x14ac:dyDescent="0.45">
      <c r="C3" s="6" t="s">
        <v>76</v>
      </c>
      <c r="D3" s="5"/>
      <c r="E3" s="5"/>
    </row>
    <row r="4" spans="3:5" ht="27.75" customHeight="1" thickTop="1" x14ac:dyDescent="0.25">
      <c r="C4" s="25" t="s">
        <v>77</v>
      </c>
      <c r="D4" s="25"/>
      <c r="E4" s="25"/>
    </row>
    <row r="8" spans="3:5" ht="18.75" x14ac:dyDescent="0.25">
      <c r="C8" s="28" t="s">
        <v>81</v>
      </c>
      <c r="D8" s="28"/>
      <c r="E8" s="28"/>
    </row>
    <row r="9" spans="3:5" ht="15.75" x14ac:dyDescent="0.25">
      <c r="C9" s="16" t="s">
        <v>78</v>
      </c>
      <c r="D9" s="16" t="s">
        <v>79</v>
      </c>
      <c r="E9" s="16" t="s">
        <v>80</v>
      </c>
    </row>
    <row r="10" spans="3:5" x14ac:dyDescent="0.25">
      <c r="C10" s="17">
        <v>46066</v>
      </c>
      <c r="D10" s="18" t="s">
        <v>82</v>
      </c>
      <c r="E10" s="19">
        <v>4500</v>
      </c>
    </row>
    <row r="11" spans="3:5" x14ac:dyDescent="0.25">
      <c r="C11" s="17"/>
      <c r="D11" s="18"/>
      <c r="E11" s="19"/>
    </row>
    <row r="12" spans="3:5" x14ac:dyDescent="0.25">
      <c r="C12" s="17"/>
      <c r="D12" s="18"/>
      <c r="E12" s="19"/>
    </row>
    <row r="13" spans="3:5" x14ac:dyDescent="0.25">
      <c r="C13" s="17"/>
      <c r="D13" s="20"/>
      <c r="E13" s="19"/>
    </row>
    <row r="14" spans="3:5" x14ac:dyDescent="0.25">
      <c r="C14" s="21"/>
      <c r="D14" s="18"/>
      <c r="E14" s="19"/>
    </row>
    <row r="15" spans="3:5" x14ac:dyDescent="0.25">
      <c r="C15" s="21"/>
      <c r="D15" s="18"/>
      <c r="E15" s="19"/>
    </row>
    <row r="16" spans="3:5" x14ac:dyDescent="0.25">
      <c r="C16" s="21"/>
      <c r="D16" s="18"/>
      <c r="E16" s="19"/>
    </row>
    <row r="17" spans="3:5" x14ac:dyDescent="0.25">
      <c r="C17" s="17"/>
      <c r="D17" s="18"/>
      <c r="E17" s="19"/>
    </row>
    <row r="18" spans="3:5" x14ac:dyDescent="0.25">
      <c r="C18" s="17"/>
      <c r="D18" s="18"/>
      <c r="E18" s="19"/>
    </row>
    <row r="19" spans="3:5" x14ac:dyDescent="0.25">
      <c r="C19" s="17"/>
      <c r="D19" s="18"/>
      <c r="E19" s="19"/>
    </row>
    <row r="20" spans="3:5" x14ac:dyDescent="0.25">
      <c r="C20" s="17"/>
      <c r="D20" s="18"/>
      <c r="E20" s="19"/>
    </row>
    <row r="21" spans="3:5" x14ac:dyDescent="0.25">
      <c r="C21" s="17"/>
      <c r="D21" s="18"/>
      <c r="E21" s="19"/>
    </row>
    <row r="22" spans="3:5" x14ac:dyDescent="0.25">
      <c r="C22" s="17"/>
      <c r="D22" s="18"/>
      <c r="E22" s="19"/>
    </row>
    <row r="23" spans="3:5" x14ac:dyDescent="0.25">
      <c r="C23" s="17"/>
      <c r="D23" s="18"/>
      <c r="E23" s="19"/>
    </row>
    <row r="24" spans="3:5" x14ac:dyDescent="0.25">
      <c r="C24" s="17"/>
      <c r="D24" s="18"/>
      <c r="E24" s="19"/>
    </row>
    <row r="25" spans="3:5" x14ac:dyDescent="0.25">
      <c r="C25" s="17"/>
      <c r="D25" s="18"/>
      <c r="E25" s="19"/>
    </row>
    <row r="26" spans="3:5" x14ac:dyDescent="0.25">
      <c r="C26" s="17"/>
      <c r="D26" s="18"/>
      <c r="E26" s="19"/>
    </row>
    <row r="27" spans="3:5" x14ac:dyDescent="0.25">
      <c r="C27" s="17"/>
      <c r="D27" s="18"/>
      <c r="E27" s="19"/>
    </row>
    <row r="28" spans="3:5" x14ac:dyDescent="0.25">
      <c r="C28" s="17"/>
      <c r="D28" s="18"/>
      <c r="E28" s="19"/>
    </row>
    <row r="29" spans="3:5" x14ac:dyDescent="0.25">
      <c r="C29" s="17"/>
      <c r="D29" s="18"/>
      <c r="E29" s="19"/>
    </row>
    <row r="30" spans="3:5" x14ac:dyDescent="0.25">
      <c r="C30" s="17"/>
      <c r="D30" s="18"/>
      <c r="E30" s="19"/>
    </row>
    <row r="31" spans="3:5" x14ac:dyDescent="0.25">
      <c r="C31" s="17"/>
      <c r="D31" s="18"/>
      <c r="E31" s="19"/>
    </row>
    <row r="32" spans="3:5" x14ac:dyDescent="0.25">
      <c r="C32" s="17"/>
      <c r="D32" s="18"/>
      <c r="E32" s="19"/>
    </row>
    <row r="33" spans="3:5" x14ac:dyDescent="0.25">
      <c r="C33" s="17"/>
      <c r="D33" s="18"/>
      <c r="E33" s="19"/>
    </row>
    <row r="34" spans="3:5" x14ac:dyDescent="0.25">
      <c r="C34" s="17"/>
      <c r="D34" s="18"/>
      <c r="E34" s="19"/>
    </row>
    <row r="35" spans="3:5" x14ac:dyDescent="0.25">
      <c r="C35" s="17"/>
      <c r="D35" s="18"/>
      <c r="E35" s="19"/>
    </row>
    <row r="36" spans="3:5" x14ac:dyDescent="0.25">
      <c r="C36" s="17"/>
      <c r="D36" s="18"/>
      <c r="E36" s="19"/>
    </row>
    <row r="37" spans="3:5" x14ac:dyDescent="0.25">
      <c r="C37" s="17"/>
      <c r="D37" s="18"/>
      <c r="E37" s="19"/>
    </row>
    <row r="38" spans="3:5" x14ac:dyDescent="0.25">
      <c r="C38" s="17"/>
      <c r="D38" s="18"/>
      <c r="E38" s="19"/>
    </row>
    <row r="39" spans="3:5" x14ac:dyDescent="0.25">
      <c r="C39" s="17"/>
      <c r="D39" s="18"/>
      <c r="E39" s="19"/>
    </row>
    <row r="40" spans="3:5" x14ac:dyDescent="0.25">
      <c r="C40" s="17"/>
      <c r="D40" s="18"/>
      <c r="E40" s="19"/>
    </row>
    <row r="41" spans="3:5" x14ac:dyDescent="0.25">
      <c r="C41" s="17"/>
      <c r="D41" s="18"/>
      <c r="E41" s="19"/>
    </row>
    <row r="42" spans="3:5" x14ac:dyDescent="0.25">
      <c r="C42" s="17"/>
      <c r="D42" s="18"/>
      <c r="E42" s="19"/>
    </row>
    <row r="43" spans="3:5" x14ac:dyDescent="0.25">
      <c r="C43" s="17"/>
      <c r="D43" s="18"/>
      <c r="E43" s="19"/>
    </row>
    <row r="44" spans="3:5" x14ac:dyDescent="0.25">
      <c r="C44" s="17"/>
      <c r="D44" s="18"/>
      <c r="E44" s="19"/>
    </row>
    <row r="45" spans="3:5" x14ac:dyDescent="0.25">
      <c r="C45" s="17"/>
      <c r="D45" s="18"/>
      <c r="E45" s="19"/>
    </row>
    <row r="46" spans="3:5" x14ac:dyDescent="0.25">
      <c r="C46" s="17"/>
      <c r="D46" s="18"/>
      <c r="E46" s="19"/>
    </row>
    <row r="47" spans="3:5" x14ac:dyDescent="0.25">
      <c r="C47" s="17"/>
      <c r="D47" s="18"/>
      <c r="E47" s="19"/>
    </row>
    <row r="48" spans="3:5" x14ac:dyDescent="0.25">
      <c r="C48" s="17"/>
      <c r="D48" s="18"/>
      <c r="E48" s="19"/>
    </row>
    <row r="49" spans="3:5" x14ac:dyDescent="0.25">
      <c r="C49" s="17"/>
      <c r="D49" s="18"/>
      <c r="E49" s="19"/>
    </row>
    <row r="50" spans="3:5" x14ac:dyDescent="0.25">
      <c r="C50" s="17"/>
      <c r="D50" s="18"/>
      <c r="E50" s="19"/>
    </row>
    <row r="51" spans="3:5" x14ac:dyDescent="0.25">
      <c r="C51" s="17"/>
      <c r="D51" s="18"/>
      <c r="E51" s="19"/>
    </row>
    <row r="52" spans="3:5" x14ac:dyDescent="0.25">
      <c r="C52" s="17"/>
      <c r="D52" s="18"/>
      <c r="E52" s="19"/>
    </row>
    <row r="53" spans="3:5" x14ac:dyDescent="0.25">
      <c r="C53" s="17"/>
      <c r="D53" s="18"/>
      <c r="E53" s="19"/>
    </row>
    <row r="54" spans="3:5" x14ac:dyDescent="0.25">
      <c r="C54" s="17"/>
      <c r="D54" s="18"/>
      <c r="E54" s="19"/>
    </row>
    <row r="55" spans="3:5" x14ac:dyDescent="0.25">
      <c r="C55" s="17"/>
      <c r="D55" s="18"/>
      <c r="E55" s="19"/>
    </row>
    <row r="56" spans="3:5" x14ac:dyDescent="0.25">
      <c r="C56" s="17"/>
      <c r="D56" s="18"/>
      <c r="E56" s="19"/>
    </row>
    <row r="57" spans="3:5" x14ac:dyDescent="0.25">
      <c r="C57" s="17"/>
      <c r="D57" s="18"/>
      <c r="E57" s="19"/>
    </row>
    <row r="58" spans="3:5" x14ac:dyDescent="0.25">
      <c r="C58" s="17"/>
      <c r="D58" s="18"/>
      <c r="E58" s="19"/>
    </row>
    <row r="59" spans="3:5" x14ac:dyDescent="0.25">
      <c r="C59" s="17"/>
      <c r="D59" s="18"/>
      <c r="E59" s="19"/>
    </row>
    <row r="60" spans="3:5" x14ac:dyDescent="0.25">
      <c r="C60" s="17"/>
      <c r="D60" s="18"/>
      <c r="E60" s="19"/>
    </row>
    <row r="61" spans="3:5" x14ac:dyDescent="0.25">
      <c r="C61" s="17"/>
      <c r="D61" s="18"/>
      <c r="E61" s="19"/>
    </row>
    <row r="62" spans="3:5" x14ac:dyDescent="0.25">
      <c r="C62" s="17"/>
      <c r="D62" s="18"/>
      <c r="E62" s="19"/>
    </row>
    <row r="63" spans="3:5" x14ac:dyDescent="0.25">
      <c r="C63" s="17"/>
      <c r="D63" s="18"/>
      <c r="E63" s="19"/>
    </row>
    <row r="64" spans="3:5" x14ac:dyDescent="0.25">
      <c r="C64" s="17"/>
      <c r="D64" s="18"/>
      <c r="E64" s="19"/>
    </row>
    <row r="65" spans="3:5" x14ac:dyDescent="0.25">
      <c r="C65" s="17"/>
      <c r="D65" s="18"/>
      <c r="E65" s="19"/>
    </row>
    <row r="66" spans="3:5" x14ac:dyDescent="0.25">
      <c r="C66" s="17"/>
      <c r="D66" s="18"/>
      <c r="E66" s="19"/>
    </row>
    <row r="67" spans="3:5" x14ac:dyDescent="0.25">
      <c r="C67" s="17"/>
      <c r="D67" s="18"/>
      <c r="E67" s="19"/>
    </row>
    <row r="68" spans="3:5" x14ac:dyDescent="0.25">
      <c r="C68" s="17"/>
      <c r="D68" s="18"/>
      <c r="E68" s="19"/>
    </row>
    <row r="69" spans="3:5" x14ac:dyDescent="0.25">
      <c r="C69" s="17"/>
      <c r="D69" s="18"/>
      <c r="E69" s="19"/>
    </row>
    <row r="70" spans="3:5" x14ac:dyDescent="0.25">
      <c r="C70" s="17"/>
      <c r="D70" s="18"/>
      <c r="E70" s="19"/>
    </row>
    <row r="71" spans="3:5" x14ac:dyDescent="0.25">
      <c r="C71" s="17"/>
      <c r="D71" s="18"/>
      <c r="E71" s="19"/>
    </row>
    <row r="72" spans="3:5" x14ac:dyDescent="0.25">
      <c r="C72" s="17"/>
      <c r="D72" s="18"/>
      <c r="E72" s="19"/>
    </row>
    <row r="73" spans="3:5" x14ac:dyDescent="0.25">
      <c r="C73" s="17"/>
      <c r="D73" s="18"/>
      <c r="E73" s="19"/>
    </row>
    <row r="74" spans="3:5" x14ac:dyDescent="0.25">
      <c r="C74" s="17"/>
      <c r="D74" s="18"/>
      <c r="E74" s="19"/>
    </row>
    <row r="75" spans="3:5" x14ac:dyDescent="0.25">
      <c r="C75" s="17"/>
      <c r="D75" s="18"/>
      <c r="E75" s="19"/>
    </row>
    <row r="76" spans="3:5" x14ac:dyDescent="0.25">
      <c r="C76" s="17"/>
      <c r="D76" s="18"/>
      <c r="E76" s="19"/>
    </row>
    <row r="77" spans="3:5" x14ac:dyDescent="0.25">
      <c r="C77" s="17"/>
      <c r="D77" s="18"/>
      <c r="E77" s="19"/>
    </row>
    <row r="78" spans="3:5" x14ac:dyDescent="0.25">
      <c r="C78" s="17"/>
      <c r="D78" s="18"/>
      <c r="E78" s="19"/>
    </row>
    <row r="79" spans="3:5" x14ac:dyDescent="0.25">
      <c r="C79" s="17"/>
      <c r="D79" s="18"/>
      <c r="E79" s="19"/>
    </row>
    <row r="80" spans="3:5" x14ac:dyDescent="0.25">
      <c r="C80" s="17"/>
      <c r="D80" s="18"/>
      <c r="E80" s="19"/>
    </row>
    <row r="81" spans="3:5" x14ac:dyDescent="0.25">
      <c r="C81" s="17"/>
      <c r="D81" s="18"/>
      <c r="E81" s="19"/>
    </row>
    <row r="82" spans="3:5" x14ac:dyDescent="0.25">
      <c r="C82" s="17"/>
      <c r="D82" s="18"/>
      <c r="E82" s="19"/>
    </row>
    <row r="83" spans="3:5" x14ac:dyDescent="0.25">
      <c r="C83" s="17"/>
      <c r="D83" s="18"/>
      <c r="E83" s="19"/>
    </row>
    <row r="84" spans="3:5" x14ac:dyDescent="0.25">
      <c r="C84" s="17"/>
      <c r="D84" s="18"/>
      <c r="E84" s="19"/>
    </row>
    <row r="85" spans="3:5" x14ac:dyDescent="0.25">
      <c r="C85" s="17"/>
      <c r="D85" s="18"/>
      <c r="E85" s="19"/>
    </row>
    <row r="86" spans="3:5" x14ac:dyDescent="0.25">
      <c r="C86" s="17"/>
      <c r="D86" s="18"/>
      <c r="E86" s="19"/>
    </row>
    <row r="87" spans="3:5" x14ac:dyDescent="0.25">
      <c r="C87" s="17"/>
      <c r="D87" s="18"/>
      <c r="E87" s="19"/>
    </row>
    <row r="88" spans="3:5" x14ac:dyDescent="0.25">
      <c r="C88" s="17"/>
      <c r="D88" s="18"/>
      <c r="E88" s="19"/>
    </row>
    <row r="89" spans="3:5" x14ac:dyDescent="0.25">
      <c r="C89" s="17"/>
      <c r="D89" s="18"/>
      <c r="E89" s="19"/>
    </row>
    <row r="90" spans="3:5" x14ac:dyDescent="0.25">
      <c r="C90" s="17"/>
      <c r="D90" s="18"/>
      <c r="E90" s="19"/>
    </row>
    <row r="91" spans="3:5" x14ac:dyDescent="0.25">
      <c r="C91" s="17"/>
      <c r="D91" s="18"/>
      <c r="E91" s="19"/>
    </row>
    <row r="92" spans="3:5" x14ac:dyDescent="0.25">
      <c r="C92" s="17"/>
      <c r="D92" s="18"/>
      <c r="E92" s="19"/>
    </row>
    <row r="93" spans="3:5" x14ac:dyDescent="0.25">
      <c r="C93" s="17"/>
      <c r="D93" s="18"/>
      <c r="E93" s="19"/>
    </row>
    <row r="94" spans="3:5" x14ac:dyDescent="0.25">
      <c r="C94" s="17"/>
      <c r="D94" s="18"/>
      <c r="E94" s="19"/>
    </row>
    <row r="95" spans="3:5" x14ac:dyDescent="0.25">
      <c r="C95" s="17"/>
      <c r="D95" s="18"/>
      <c r="E95" s="19"/>
    </row>
    <row r="96" spans="3:5" x14ac:dyDescent="0.25">
      <c r="C96" s="17"/>
      <c r="D96" s="18"/>
      <c r="E96" s="19"/>
    </row>
    <row r="97" spans="3:5" x14ac:dyDescent="0.25">
      <c r="C97" s="17"/>
      <c r="D97" s="18"/>
      <c r="E97" s="19"/>
    </row>
    <row r="98" spans="3:5" x14ac:dyDescent="0.25">
      <c r="C98" s="17"/>
      <c r="D98" s="18"/>
      <c r="E98" s="19"/>
    </row>
    <row r="99" spans="3:5" x14ac:dyDescent="0.25">
      <c r="C99" s="17"/>
      <c r="D99" s="18"/>
      <c r="E99" s="19"/>
    </row>
    <row r="100" spans="3:5" x14ac:dyDescent="0.25">
      <c r="C100" s="17"/>
      <c r="D100" s="18"/>
      <c r="E100" s="19"/>
    </row>
    <row r="101" spans="3:5" x14ac:dyDescent="0.25">
      <c r="C101" s="17"/>
      <c r="D101" s="18"/>
      <c r="E101" s="19"/>
    </row>
    <row r="102" spans="3:5" x14ac:dyDescent="0.25">
      <c r="C102" s="17"/>
      <c r="D102" s="18"/>
      <c r="E102" s="19"/>
    </row>
    <row r="103" spans="3:5" x14ac:dyDescent="0.25">
      <c r="C103" s="17"/>
      <c r="D103" s="18"/>
      <c r="E103" s="19"/>
    </row>
    <row r="104" spans="3:5" x14ac:dyDescent="0.25">
      <c r="C104" s="17"/>
      <c r="D104" s="18"/>
      <c r="E104" s="19"/>
    </row>
    <row r="105" spans="3:5" x14ac:dyDescent="0.25">
      <c r="C105" s="17"/>
      <c r="D105" s="18"/>
      <c r="E105" s="19"/>
    </row>
    <row r="106" spans="3:5" x14ac:dyDescent="0.25">
      <c r="C106" s="17"/>
      <c r="D106" s="18"/>
      <c r="E106" s="19"/>
    </row>
    <row r="107" spans="3:5" x14ac:dyDescent="0.25">
      <c r="C107" s="17"/>
      <c r="D107" s="18"/>
      <c r="E107" s="19"/>
    </row>
    <row r="108" spans="3:5" x14ac:dyDescent="0.25">
      <c r="C108" s="17"/>
      <c r="D108" s="18"/>
      <c r="E108" s="19"/>
    </row>
    <row r="109" spans="3:5" x14ac:dyDescent="0.25">
      <c r="C109" s="17"/>
      <c r="D109" s="18"/>
      <c r="E109" s="19"/>
    </row>
    <row r="110" spans="3:5" x14ac:dyDescent="0.25">
      <c r="C110" s="17"/>
      <c r="D110" s="18"/>
      <c r="E110" s="19"/>
    </row>
    <row r="111" spans="3:5" x14ac:dyDescent="0.25">
      <c r="C111" s="17"/>
      <c r="D111" s="18"/>
      <c r="E111" s="19"/>
    </row>
    <row r="112" spans="3:5" x14ac:dyDescent="0.25">
      <c r="C112" s="17"/>
      <c r="D112" s="18"/>
      <c r="E112" s="19"/>
    </row>
    <row r="113" spans="3:5" x14ac:dyDescent="0.25">
      <c r="C113" s="17"/>
      <c r="D113" s="18"/>
      <c r="E113" s="19"/>
    </row>
    <row r="114" spans="3:5" x14ac:dyDescent="0.25">
      <c r="C114" s="17"/>
      <c r="D114" s="18"/>
      <c r="E114" s="19"/>
    </row>
    <row r="115" spans="3:5" x14ac:dyDescent="0.25">
      <c r="C115" s="17"/>
      <c r="D115" s="18"/>
      <c r="E115" s="19"/>
    </row>
    <row r="116" spans="3:5" x14ac:dyDescent="0.25">
      <c r="C116" s="17"/>
      <c r="D116" s="18"/>
      <c r="E116" s="19"/>
    </row>
    <row r="117" spans="3:5" x14ac:dyDescent="0.25">
      <c r="C117" s="17"/>
      <c r="D117" s="18"/>
      <c r="E117" s="19"/>
    </row>
    <row r="118" spans="3:5" x14ac:dyDescent="0.25">
      <c r="C118" s="17"/>
      <c r="D118" s="18"/>
      <c r="E118" s="19"/>
    </row>
    <row r="119" spans="3:5" x14ac:dyDescent="0.25">
      <c r="C119" s="17"/>
      <c r="D119" s="18"/>
      <c r="E119" s="19"/>
    </row>
    <row r="120" spans="3:5" x14ac:dyDescent="0.25">
      <c r="C120" s="17"/>
      <c r="D120" s="18"/>
      <c r="E120" s="19"/>
    </row>
    <row r="121" spans="3:5" x14ac:dyDescent="0.25">
      <c r="C121" s="17"/>
      <c r="D121" s="18"/>
      <c r="E121" s="19"/>
    </row>
    <row r="122" spans="3:5" x14ac:dyDescent="0.25">
      <c r="C122" s="17"/>
      <c r="D122" s="18"/>
      <c r="E122" s="19"/>
    </row>
    <row r="123" spans="3:5" x14ac:dyDescent="0.25">
      <c r="C123" s="17"/>
      <c r="D123" s="18"/>
      <c r="E123" s="19"/>
    </row>
    <row r="124" spans="3:5" x14ac:dyDescent="0.25">
      <c r="C124" s="17"/>
      <c r="D124" s="18"/>
      <c r="E124" s="19"/>
    </row>
    <row r="125" spans="3:5" x14ac:dyDescent="0.25">
      <c r="C125" s="17"/>
      <c r="D125" s="18"/>
      <c r="E125" s="19"/>
    </row>
    <row r="126" spans="3:5" x14ac:dyDescent="0.25">
      <c r="C126" s="17"/>
      <c r="D126" s="18"/>
      <c r="E126" s="19"/>
    </row>
    <row r="127" spans="3:5" x14ac:dyDescent="0.25">
      <c r="C127" s="17"/>
      <c r="D127" s="18"/>
      <c r="E127" s="19"/>
    </row>
    <row r="128" spans="3:5" x14ac:dyDescent="0.25">
      <c r="C128" s="17"/>
      <c r="D128" s="18"/>
      <c r="E128" s="19"/>
    </row>
    <row r="129" spans="3:5" x14ac:dyDescent="0.25">
      <c r="C129" s="17"/>
      <c r="D129" s="18"/>
      <c r="E129" s="19"/>
    </row>
    <row r="130" spans="3:5" x14ac:dyDescent="0.25">
      <c r="C130" s="17"/>
      <c r="D130" s="18"/>
      <c r="E130" s="19"/>
    </row>
    <row r="131" spans="3:5" x14ac:dyDescent="0.25">
      <c r="C131" s="17"/>
      <c r="D131" s="18"/>
      <c r="E131" s="19"/>
    </row>
    <row r="132" spans="3:5" x14ac:dyDescent="0.25">
      <c r="C132" s="17"/>
      <c r="D132" s="18"/>
      <c r="E132" s="19"/>
    </row>
    <row r="133" spans="3:5" x14ac:dyDescent="0.25">
      <c r="C133" s="17"/>
      <c r="D133" s="18"/>
      <c r="E133" s="19"/>
    </row>
    <row r="134" spans="3:5" x14ac:dyDescent="0.25">
      <c r="C134" s="17"/>
      <c r="D134" s="18"/>
      <c r="E134" s="19"/>
    </row>
    <row r="135" spans="3:5" x14ac:dyDescent="0.25">
      <c r="C135" s="17"/>
      <c r="D135" s="18"/>
      <c r="E135" s="19"/>
    </row>
    <row r="136" spans="3:5" x14ac:dyDescent="0.25">
      <c r="C136" s="17"/>
      <c r="D136" s="18"/>
      <c r="E136" s="19"/>
    </row>
    <row r="137" spans="3:5" x14ac:dyDescent="0.25">
      <c r="C137" s="17"/>
      <c r="D137" s="18"/>
      <c r="E137" s="19"/>
    </row>
    <row r="138" spans="3:5" x14ac:dyDescent="0.25">
      <c r="C138" s="17"/>
      <c r="D138" s="18"/>
      <c r="E138" s="19"/>
    </row>
    <row r="139" spans="3:5" x14ac:dyDescent="0.25">
      <c r="C139" s="17"/>
      <c r="D139" s="18"/>
      <c r="E139" s="19"/>
    </row>
    <row r="140" spans="3:5" x14ac:dyDescent="0.25">
      <c r="C140" s="17"/>
      <c r="D140" s="18"/>
      <c r="E140" s="19"/>
    </row>
    <row r="141" spans="3:5" x14ac:dyDescent="0.25">
      <c r="C141" s="17"/>
      <c r="D141" s="18"/>
      <c r="E141" s="19"/>
    </row>
    <row r="142" spans="3:5" x14ac:dyDescent="0.25">
      <c r="C142" s="17"/>
      <c r="D142" s="18"/>
      <c r="E142" s="19"/>
    </row>
    <row r="143" spans="3:5" x14ac:dyDescent="0.25">
      <c r="C143" s="17"/>
      <c r="D143" s="18"/>
      <c r="E143" s="19"/>
    </row>
    <row r="144" spans="3:5" x14ac:dyDescent="0.25">
      <c r="C144" s="17"/>
      <c r="D144" s="18"/>
      <c r="E144" s="19"/>
    </row>
    <row r="145" spans="3:5" x14ac:dyDescent="0.25">
      <c r="C145" s="17"/>
      <c r="D145" s="18"/>
      <c r="E145" s="19"/>
    </row>
    <row r="146" spans="3:5" x14ac:dyDescent="0.25">
      <c r="C146" s="17"/>
      <c r="D146" s="18"/>
      <c r="E146" s="19"/>
    </row>
    <row r="147" spans="3:5" x14ac:dyDescent="0.25">
      <c r="C147" s="17"/>
      <c r="D147" s="18"/>
      <c r="E147" s="19"/>
    </row>
    <row r="148" spans="3:5" x14ac:dyDescent="0.25">
      <c r="C148" s="17"/>
      <c r="D148" s="18"/>
      <c r="E148" s="19"/>
    </row>
    <row r="149" spans="3:5" x14ac:dyDescent="0.25">
      <c r="C149" s="17"/>
      <c r="D149" s="18"/>
      <c r="E149" s="19"/>
    </row>
    <row r="150" spans="3:5" x14ac:dyDescent="0.25">
      <c r="C150" s="17"/>
      <c r="D150" s="18"/>
      <c r="E150" s="19"/>
    </row>
    <row r="151" spans="3:5" x14ac:dyDescent="0.25">
      <c r="C151" s="17"/>
      <c r="D151" s="18"/>
      <c r="E151" s="19"/>
    </row>
    <row r="152" spans="3:5" x14ac:dyDescent="0.25">
      <c r="C152" s="17"/>
      <c r="D152" s="18"/>
      <c r="E152" s="19"/>
    </row>
    <row r="153" spans="3:5" x14ac:dyDescent="0.25">
      <c r="C153" s="17"/>
      <c r="D153" s="18"/>
      <c r="E153" s="19"/>
    </row>
    <row r="154" spans="3:5" x14ac:dyDescent="0.25">
      <c r="C154" s="17"/>
      <c r="D154" s="18"/>
      <c r="E154" s="19"/>
    </row>
    <row r="155" spans="3:5" x14ac:dyDescent="0.25">
      <c r="C155" s="17"/>
      <c r="D155" s="18"/>
      <c r="E155" s="19"/>
    </row>
    <row r="156" spans="3:5" x14ac:dyDescent="0.25">
      <c r="C156" s="17"/>
      <c r="D156" s="18"/>
      <c r="E156" s="19"/>
    </row>
    <row r="157" spans="3:5" x14ac:dyDescent="0.25">
      <c r="C157" s="17"/>
      <c r="D157" s="18"/>
      <c r="E157" s="19"/>
    </row>
    <row r="158" spans="3:5" x14ac:dyDescent="0.25">
      <c r="C158" s="17"/>
      <c r="D158" s="18"/>
      <c r="E158" s="19"/>
    </row>
    <row r="159" spans="3:5" x14ac:dyDescent="0.25">
      <c r="C159" s="17"/>
      <c r="D159" s="18"/>
      <c r="E159" s="19"/>
    </row>
  </sheetData>
  <sheetProtection sheet="1" objects="1" scenarios="1"/>
  <mergeCells count="2">
    <mergeCell ref="C4:E4"/>
    <mergeCell ref="C8:E8"/>
  </mergeCells>
  <dataValidations count="1">
    <dataValidation type="list" allowBlank="1" showInputMessage="1" showErrorMessage="1" sqref="D10:D159" xr:uid="{008F875A-764C-4CC1-A288-25FFFA74C440}">
      <formula1>"HOLERITE,CNPJ"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F4B3AB-FA4B-4ABE-9702-791C7934D20C}">
  <sheetPr codeName="Planilha4"/>
  <dimension ref="A1:F53"/>
  <sheetViews>
    <sheetView showGridLines="0" workbookViewId="0">
      <selection activeCell="H7" sqref="H7"/>
    </sheetView>
  </sheetViews>
  <sheetFormatPr defaultRowHeight="15" x14ac:dyDescent="0.25"/>
  <cols>
    <col min="1" max="1" width="39" style="7" bestFit="1" customWidth="1"/>
    <col min="2" max="2" width="9.140625" style="7"/>
    <col min="3" max="3" width="0" style="7" hidden="1" customWidth="1"/>
    <col min="4" max="4" width="9.140625" style="7"/>
    <col min="5" max="5" width="35.28515625" style="7" bestFit="1" customWidth="1"/>
    <col min="6" max="16384" width="9.140625" style="7"/>
  </cols>
  <sheetData>
    <row r="1" spans="1:6" x14ac:dyDescent="0.25">
      <c r="A1" s="11" t="s">
        <v>71</v>
      </c>
    </row>
    <row r="2" spans="1:6" x14ac:dyDescent="0.25">
      <c r="A2" s="8" t="s">
        <v>21</v>
      </c>
      <c r="C2" s="15">
        <f>SEARCH("-",Tab_CodBancos[[#This Row],[BANCOS]])</f>
        <v>3</v>
      </c>
      <c r="D2" s="7" t="str">
        <f>MID(Tab_CodBancos[[#This Row],[BANCOS]],1,SEARCH("-",Tab_CodBancos[[#This Row],[BANCOS]])-2)</f>
        <v>1</v>
      </c>
      <c r="E2" s="7" t="str">
        <f>MID(Tab_CodBancos[[#This Row],[BANCOS]],SEARCH(" ",Tab_CodBancos[[#This Row],[BANCOS]],SEARCH(" ",Tab_CodBancos[[#This Row],[BANCOS]])+1)+1,LEN(Tab_CodBancos[[#This Row],[BANCOS]]))</f>
        <v>Banco do Brasil</v>
      </c>
      <c r="F2" s="7">
        <f>SEARCH(" ",Tab_CodBancos[[#This Row],[BANCOS]],SEARCH(" ",Tab_CodBancos[[#This Row],[BANCOS]])+1)+1</f>
        <v>5</v>
      </c>
    </row>
    <row r="3" spans="1:6" x14ac:dyDescent="0.25">
      <c r="A3" s="9" t="s">
        <v>22</v>
      </c>
      <c r="C3" s="15">
        <f>SEARCH("-",Tab_CodBancos[[#This Row],[BANCOS]])</f>
        <v>5</v>
      </c>
      <c r="D3" s="7" t="str">
        <f>MID(Tab_CodBancos[[#This Row],[BANCOS]],1,SEARCH("-",Tab_CodBancos[[#This Row],[BANCOS]])-2)</f>
        <v>102</v>
      </c>
      <c r="E3" s="7" t="str">
        <f>MID(Tab_CodBancos[[#This Row],[BANCOS]],SEARCH(" ",Tab_CodBancos[[#This Row],[BANCOS]],SEARCH(" ",Tab_CodBancos[[#This Row],[BANCOS]])+1)+1,LEN(Tab_CodBancos[[#This Row],[BANCOS]]))</f>
        <v>XP Investimentos CCTVM S.A.</v>
      </c>
      <c r="F3" s="7">
        <f>SEARCH(" ",Tab_CodBancos[[#This Row],[BANCOS]],SEARCH(" ",Tab_CodBancos[[#This Row],[BANCOS]])+1)+1</f>
        <v>7</v>
      </c>
    </row>
    <row r="4" spans="1:6" x14ac:dyDescent="0.25">
      <c r="A4" s="10" t="s">
        <v>23</v>
      </c>
      <c r="C4" s="15">
        <f>SEARCH("-",Tab_CodBancos[[#This Row],[BANCOS]])</f>
        <v>5</v>
      </c>
      <c r="D4" s="7" t="str">
        <f>MID(Tab_CodBancos[[#This Row],[BANCOS]],1,SEARCH("-",Tab_CodBancos[[#This Row],[BANCOS]])-2)</f>
        <v>104</v>
      </c>
      <c r="E4" s="7" t="str">
        <f>MID(Tab_CodBancos[[#This Row],[BANCOS]],SEARCH(" ",Tab_CodBancos[[#This Row],[BANCOS]],SEARCH(" ",Tab_CodBancos[[#This Row],[BANCOS]])+1)+1,LEN(Tab_CodBancos[[#This Row],[BANCOS]]))</f>
        <v>Caixa Econômica Federal</v>
      </c>
      <c r="F4" s="7">
        <f>SEARCH(" ",Tab_CodBancos[[#This Row],[BANCOS]],SEARCH(" ",Tab_CodBancos[[#This Row],[BANCOS]])+1)+1</f>
        <v>7</v>
      </c>
    </row>
    <row r="5" spans="1:6" x14ac:dyDescent="0.25">
      <c r="A5" s="9" t="s">
        <v>24</v>
      </c>
      <c r="C5" s="15">
        <f>SEARCH("-",Tab_CodBancos[[#This Row],[BANCOS]])</f>
        <v>5</v>
      </c>
      <c r="D5" s="7" t="str">
        <f>MID(Tab_CodBancos[[#This Row],[BANCOS]],1,SEARCH("-",Tab_CodBancos[[#This Row],[BANCOS]])-2)</f>
        <v>119</v>
      </c>
      <c r="E5" s="7" t="str">
        <f>MID(Tab_CodBancos[[#This Row],[BANCOS]],SEARCH(" ",Tab_CodBancos[[#This Row],[BANCOS]],SEARCH(" ",Tab_CodBancos[[#This Row],[BANCOS]])+1)+1,LEN(Tab_CodBancos[[#This Row],[BANCOS]]))</f>
        <v>Banco Western Union do Brasil</v>
      </c>
      <c r="F5" s="7">
        <f>SEARCH(" ",Tab_CodBancos[[#This Row],[BANCOS]],SEARCH(" ",Tab_CodBancos[[#This Row],[BANCOS]])+1)+1</f>
        <v>7</v>
      </c>
    </row>
    <row r="6" spans="1:6" x14ac:dyDescent="0.25">
      <c r="A6" s="10" t="s">
        <v>25</v>
      </c>
      <c r="C6" s="15">
        <f>SEARCH("-",Tab_CodBancos[[#This Row],[BANCOS]])</f>
        <v>5</v>
      </c>
      <c r="D6" s="7" t="str">
        <f>MID(Tab_CodBancos[[#This Row],[BANCOS]],1,SEARCH("-",Tab_CodBancos[[#This Row],[BANCOS]])-2)</f>
        <v>184</v>
      </c>
      <c r="E6" s="7" t="str">
        <f>MID(Tab_CodBancos[[#This Row],[BANCOS]],SEARCH(" ",Tab_CodBancos[[#This Row],[BANCOS]],SEARCH(" ",Tab_CodBancos[[#This Row],[BANCOS]])+1)+1,LEN(Tab_CodBancos[[#This Row],[BANCOS]]))</f>
        <v>Banco Itaú BBA S.A.</v>
      </c>
      <c r="F6" s="7">
        <f>SEARCH(" ",Tab_CodBancos[[#This Row],[BANCOS]],SEARCH(" ",Tab_CodBancos[[#This Row],[BANCOS]])+1)+1</f>
        <v>7</v>
      </c>
    </row>
    <row r="7" spans="1:6" x14ac:dyDescent="0.25">
      <c r="A7" s="9" t="s">
        <v>26</v>
      </c>
      <c r="C7" s="15">
        <f>SEARCH("-",Tab_CodBancos[[#This Row],[BANCOS]])</f>
        <v>5</v>
      </c>
      <c r="D7" s="7" t="str">
        <f>MID(Tab_CodBancos[[#This Row],[BANCOS]],1,SEARCH("-",Tab_CodBancos[[#This Row],[BANCOS]])-2)</f>
        <v>197</v>
      </c>
      <c r="E7" s="7" t="str">
        <f>MID(Tab_CodBancos[[#This Row],[BANCOS]],SEARCH(" ",Tab_CodBancos[[#This Row],[BANCOS]],SEARCH(" ",Tab_CodBancos[[#This Row],[BANCOS]])+1)+1,LEN(Tab_CodBancos[[#This Row],[BANCOS]]))</f>
        <v>Stone Pagamentos</v>
      </c>
      <c r="F7" s="7">
        <f>SEARCH(" ",Tab_CodBancos[[#This Row],[BANCOS]],SEARCH(" ",Tab_CodBancos[[#This Row],[BANCOS]])+1)+1</f>
        <v>7</v>
      </c>
    </row>
    <row r="8" spans="1:6" x14ac:dyDescent="0.25">
      <c r="A8" s="10" t="s">
        <v>27</v>
      </c>
      <c r="C8" s="15">
        <f>SEARCH("-",Tab_CodBancos[[#This Row],[BANCOS]])</f>
        <v>5</v>
      </c>
      <c r="D8" s="7" t="str">
        <f>MID(Tab_CodBancos[[#This Row],[BANCOS]],1,SEARCH("-",Tab_CodBancos[[#This Row],[BANCOS]])-2)</f>
        <v>208</v>
      </c>
      <c r="E8" s="7" t="str">
        <f>MID(Tab_CodBancos[[#This Row],[BANCOS]],SEARCH(" ",Tab_CodBancos[[#This Row],[BANCOS]],SEARCH(" ",Tab_CodBancos[[#This Row],[BANCOS]])+1)+1,LEN(Tab_CodBancos[[#This Row],[BANCOS]]))</f>
        <v>Banco BTG Pactual</v>
      </c>
      <c r="F8" s="7">
        <f>SEARCH(" ",Tab_CodBancos[[#This Row],[BANCOS]],SEARCH(" ",Tab_CodBancos[[#This Row],[BANCOS]])+1)+1</f>
        <v>7</v>
      </c>
    </row>
    <row r="9" spans="1:6" x14ac:dyDescent="0.25">
      <c r="A9" s="9" t="s">
        <v>28</v>
      </c>
      <c r="C9" s="15">
        <f>SEARCH("-",Tab_CodBancos[[#This Row],[BANCOS]])</f>
        <v>5</v>
      </c>
      <c r="D9" s="7" t="str">
        <f>MID(Tab_CodBancos[[#This Row],[BANCOS]],1,SEARCH("-",Tab_CodBancos[[#This Row],[BANCOS]])-2)</f>
        <v>212</v>
      </c>
      <c r="E9" s="7" t="str">
        <f>MID(Tab_CodBancos[[#This Row],[BANCOS]],SEARCH(" ",Tab_CodBancos[[#This Row],[BANCOS]],SEARCH(" ",Tab_CodBancos[[#This Row],[BANCOS]])+1)+1,LEN(Tab_CodBancos[[#This Row],[BANCOS]]))</f>
        <v>Banco Original</v>
      </c>
      <c r="F9" s="7">
        <f>SEARCH(" ",Tab_CodBancos[[#This Row],[BANCOS]],SEARCH(" ",Tab_CodBancos[[#This Row],[BANCOS]])+1)+1</f>
        <v>7</v>
      </c>
    </row>
    <row r="10" spans="1:6" x14ac:dyDescent="0.25">
      <c r="A10" s="10" t="s">
        <v>29</v>
      </c>
      <c r="C10" s="15">
        <f>SEARCH("-",Tab_CodBancos[[#This Row],[BANCOS]])</f>
        <v>5</v>
      </c>
      <c r="D10" s="7" t="str">
        <f>MID(Tab_CodBancos[[#This Row],[BANCOS]],1,SEARCH("-",Tab_CodBancos[[#This Row],[BANCOS]])-2)</f>
        <v>218</v>
      </c>
      <c r="E10" s="7" t="str">
        <f>MID(Tab_CodBancos[[#This Row],[BANCOS]],SEARCH(" ",Tab_CodBancos[[#This Row],[BANCOS]],SEARCH(" ",Tab_CodBancos[[#This Row],[BANCOS]])+1)+1,LEN(Tab_CodBancos[[#This Row],[BANCOS]]))</f>
        <v>Banco Bonsucesso</v>
      </c>
      <c r="F10" s="7">
        <f>SEARCH(" ",Tab_CodBancos[[#This Row],[BANCOS]],SEARCH(" ",Tab_CodBancos[[#This Row],[BANCOS]])+1)+1</f>
        <v>7</v>
      </c>
    </row>
    <row r="11" spans="1:6" x14ac:dyDescent="0.25">
      <c r="A11" s="9" t="s">
        <v>30</v>
      </c>
      <c r="C11" s="15">
        <f>SEARCH("-",Tab_CodBancos[[#This Row],[BANCOS]])</f>
        <v>5</v>
      </c>
      <c r="D11" s="7" t="str">
        <f>MID(Tab_CodBancos[[#This Row],[BANCOS]],1,SEARCH("-",Tab_CodBancos[[#This Row],[BANCOS]])-2)</f>
        <v>229</v>
      </c>
      <c r="E11" s="7" t="str">
        <f>MID(Tab_CodBancos[[#This Row],[BANCOS]],SEARCH(" ",Tab_CodBancos[[#This Row],[BANCOS]],SEARCH(" ",Tab_CodBancos[[#This Row],[BANCOS]])+1)+1,LEN(Tab_CodBancos[[#This Row],[BANCOS]]))</f>
        <v>Banco Cruzeiro do Sul</v>
      </c>
      <c r="F11" s="7">
        <f>SEARCH(" ",Tab_CodBancos[[#This Row],[BANCOS]],SEARCH(" ",Tab_CodBancos[[#This Row],[BANCOS]])+1)+1</f>
        <v>7</v>
      </c>
    </row>
    <row r="12" spans="1:6" x14ac:dyDescent="0.25">
      <c r="A12" s="10" t="s">
        <v>31</v>
      </c>
      <c r="C12" s="15">
        <f>SEARCH("-",Tab_CodBancos[[#This Row],[BANCOS]])</f>
        <v>5</v>
      </c>
      <c r="D12" s="7" t="str">
        <f>MID(Tab_CodBancos[[#This Row],[BANCOS]],1,SEARCH("-",Tab_CodBancos[[#This Row],[BANCOS]])-2)</f>
        <v>237</v>
      </c>
      <c r="E12" s="7" t="str">
        <f>MID(Tab_CodBancos[[#This Row],[BANCOS]],SEARCH(" ",Tab_CodBancos[[#This Row],[BANCOS]],SEARCH(" ",Tab_CodBancos[[#This Row],[BANCOS]])+1)+1,LEN(Tab_CodBancos[[#This Row],[BANCOS]]))</f>
        <v>Banco Bradesco</v>
      </c>
      <c r="F12" s="7">
        <f>SEARCH(" ",Tab_CodBancos[[#This Row],[BANCOS]],SEARCH(" ",Tab_CodBancos[[#This Row],[BANCOS]])+1)+1</f>
        <v>7</v>
      </c>
    </row>
    <row r="13" spans="1:6" x14ac:dyDescent="0.25">
      <c r="A13" s="9" t="s">
        <v>32</v>
      </c>
      <c r="C13" s="15">
        <f>SEARCH("-",Tab_CodBancos[[#This Row],[BANCOS]])</f>
        <v>4</v>
      </c>
      <c r="D13" s="7" t="str">
        <f>MID(Tab_CodBancos[[#This Row],[BANCOS]],1,SEARCH("-",Tab_CodBancos[[#This Row],[BANCOS]])-2)</f>
        <v>24</v>
      </c>
      <c r="E13" s="7" t="str">
        <f>MID(Tab_CodBancos[[#This Row],[BANCOS]],SEARCH(" ",Tab_CodBancos[[#This Row],[BANCOS]],SEARCH(" ",Tab_CodBancos[[#This Row],[BANCOS]])+1)+1,LEN(Tab_CodBancos[[#This Row],[BANCOS]]))</f>
        <v>Banco de Pernambuco</v>
      </c>
      <c r="F13" s="7">
        <f>SEARCH(" ",Tab_CodBancos[[#This Row],[BANCOS]],SEARCH(" ",Tab_CodBancos[[#This Row],[BANCOS]])+1)+1</f>
        <v>6</v>
      </c>
    </row>
    <row r="14" spans="1:6" x14ac:dyDescent="0.25">
      <c r="A14" s="10" t="s">
        <v>33</v>
      </c>
      <c r="C14" s="15">
        <f>SEARCH("-",Tab_CodBancos[[#This Row],[BANCOS]])</f>
        <v>5</v>
      </c>
      <c r="D14" s="7" t="str">
        <f>MID(Tab_CodBancos[[#This Row],[BANCOS]],1,SEARCH("-",Tab_CodBancos[[#This Row],[BANCOS]])-2)</f>
        <v>241</v>
      </c>
      <c r="E14" s="7" t="str">
        <f>MID(Tab_CodBancos[[#This Row],[BANCOS]],SEARCH(" ",Tab_CodBancos[[#This Row],[BANCOS]],SEARCH(" ",Tab_CodBancos[[#This Row],[BANCOS]])+1)+1,LEN(Tab_CodBancos[[#This Row],[BANCOS]]))</f>
        <v>Banco Clássico</v>
      </c>
      <c r="F14" s="7">
        <f>SEARCH(" ",Tab_CodBancos[[#This Row],[BANCOS]],SEARCH(" ",Tab_CodBancos[[#This Row],[BANCOS]])+1)+1</f>
        <v>7</v>
      </c>
    </row>
    <row r="15" spans="1:6" x14ac:dyDescent="0.25">
      <c r="A15" s="9" t="s">
        <v>34</v>
      </c>
      <c r="C15" s="15">
        <f>SEARCH("-",Tab_CodBancos[[#This Row],[BANCOS]])</f>
        <v>5</v>
      </c>
      <c r="D15" s="7" t="str">
        <f>MID(Tab_CodBancos[[#This Row],[BANCOS]],1,SEARCH("-",Tab_CodBancos[[#This Row],[BANCOS]])-2)</f>
        <v>250</v>
      </c>
      <c r="E15" s="7" t="str">
        <f>MID(Tab_CodBancos[[#This Row],[BANCOS]],SEARCH(" ",Tab_CodBancos[[#This Row],[BANCOS]],SEARCH(" ",Tab_CodBancos[[#This Row],[BANCOS]])+1)+1,LEN(Tab_CodBancos[[#This Row],[BANCOS]]))</f>
        <v>Banco de Crédito e Varejo (BCV)</v>
      </c>
      <c r="F15" s="7">
        <f>SEARCH(" ",Tab_CodBancos[[#This Row],[BANCOS]],SEARCH(" ",Tab_CodBancos[[#This Row],[BANCOS]])+1)+1</f>
        <v>7</v>
      </c>
    </row>
    <row r="16" spans="1:6" x14ac:dyDescent="0.25">
      <c r="A16" s="10" t="s">
        <v>35</v>
      </c>
      <c r="C16" s="15">
        <f>SEARCH("-",Tab_CodBancos[[#This Row],[BANCOS]])</f>
        <v>5</v>
      </c>
      <c r="D16" s="7" t="str">
        <f>MID(Tab_CodBancos[[#This Row],[BANCOS]],1,SEARCH("-",Tab_CodBancos[[#This Row],[BANCOS]])-2)</f>
        <v>260</v>
      </c>
      <c r="E16" s="7" t="str">
        <f>MID(Tab_CodBancos[[#This Row],[BANCOS]],SEARCH(" ",Tab_CodBancos[[#This Row],[BANCOS]],SEARCH(" ",Tab_CodBancos[[#This Row],[BANCOS]])+1)+1,LEN(Tab_CodBancos[[#This Row],[BANCOS]]))</f>
        <v>Nubank</v>
      </c>
      <c r="F16" s="7">
        <f>SEARCH(" ",Tab_CodBancos[[#This Row],[BANCOS]],SEARCH(" ",Tab_CodBancos[[#This Row],[BANCOS]])+1)+1</f>
        <v>7</v>
      </c>
    </row>
    <row r="17" spans="1:6" x14ac:dyDescent="0.25">
      <c r="A17" s="9" t="s">
        <v>36</v>
      </c>
      <c r="C17" s="15">
        <f>SEARCH("-",Tab_CodBancos[[#This Row],[BANCOS]])</f>
        <v>4</v>
      </c>
      <c r="D17" s="7" t="str">
        <f>MID(Tab_CodBancos[[#This Row],[BANCOS]],1,SEARCH("-",Tab_CodBancos[[#This Row],[BANCOS]])-2)</f>
        <v>29</v>
      </c>
      <c r="E17" s="7" t="str">
        <f>MID(Tab_CodBancos[[#This Row],[BANCOS]],SEARCH(" ",Tab_CodBancos[[#This Row],[BANCOS]],SEARCH(" ",Tab_CodBancos[[#This Row],[BANCOS]])+1)+1,LEN(Tab_CodBancos[[#This Row],[BANCOS]]))</f>
        <v>Banco do Estado do Rio de Janeiro</v>
      </c>
      <c r="F17" s="7">
        <f>SEARCH(" ",Tab_CodBancos[[#This Row],[BANCOS]],SEARCH(" ",Tab_CodBancos[[#This Row],[BANCOS]])+1)+1</f>
        <v>6</v>
      </c>
    </row>
    <row r="18" spans="1:6" x14ac:dyDescent="0.25">
      <c r="A18" s="10" t="s">
        <v>37</v>
      </c>
      <c r="C18" s="15">
        <f>SEARCH("-",Tab_CodBancos[[#This Row],[BANCOS]])</f>
        <v>5</v>
      </c>
      <c r="D18" s="7" t="str">
        <f>MID(Tab_CodBancos[[#This Row],[BANCOS]],1,SEARCH("-",Tab_CodBancos[[#This Row],[BANCOS]])-2)</f>
        <v>290</v>
      </c>
      <c r="E18" s="7" t="str">
        <f>MID(Tab_CodBancos[[#This Row],[BANCOS]],SEARCH(" ",Tab_CodBancos[[#This Row],[BANCOS]],SEARCH(" ",Tab_CodBancos[[#This Row],[BANCOS]])+1)+1,LEN(Tab_CodBancos[[#This Row],[BANCOS]]))</f>
        <v>PagBank</v>
      </c>
      <c r="F18" s="7">
        <f>SEARCH(" ",Tab_CodBancos[[#This Row],[BANCOS]],SEARCH(" ",Tab_CodBancos[[#This Row],[BANCOS]])+1)+1</f>
        <v>7</v>
      </c>
    </row>
    <row r="19" spans="1:6" x14ac:dyDescent="0.25">
      <c r="A19" s="9" t="s">
        <v>38</v>
      </c>
      <c r="C19" s="15">
        <f>SEARCH("-",Tab_CodBancos[[#This Row],[BANCOS]])</f>
        <v>3</v>
      </c>
      <c r="D19" s="7" t="str">
        <f>MID(Tab_CodBancos[[#This Row],[BANCOS]],1,SEARCH("-",Tab_CodBancos[[#This Row],[BANCOS]])-2)</f>
        <v>3</v>
      </c>
      <c r="E19" s="7" t="str">
        <f>MID(Tab_CodBancos[[#This Row],[BANCOS]],SEARCH(" ",Tab_CodBancos[[#This Row],[BANCOS]],SEARCH(" ",Tab_CodBancos[[#This Row],[BANCOS]])+1)+1,LEN(Tab_CodBancos[[#This Row],[BANCOS]]))</f>
        <v>Banco da Amazônia</v>
      </c>
      <c r="F19" s="7">
        <f>SEARCH(" ",Tab_CodBancos[[#This Row],[BANCOS]],SEARCH(" ",Tab_CodBancos[[#This Row],[BANCOS]])+1)+1</f>
        <v>5</v>
      </c>
    </row>
    <row r="20" spans="1:6" x14ac:dyDescent="0.25">
      <c r="A20" s="10" t="s">
        <v>39</v>
      </c>
      <c r="C20" s="15">
        <f>SEARCH("-",Tab_CodBancos[[#This Row],[BANCOS]])</f>
        <v>4</v>
      </c>
      <c r="D20" s="7" t="str">
        <f>MID(Tab_CodBancos[[#This Row],[BANCOS]],1,SEARCH("-",Tab_CodBancos[[#This Row],[BANCOS]])-2)</f>
        <v>33</v>
      </c>
      <c r="E20" s="7" t="str">
        <f>MID(Tab_CodBancos[[#This Row],[BANCOS]],SEARCH(" ",Tab_CodBancos[[#This Row],[BANCOS]],SEARCH(" ",Tab_CodBancos[[#This Row],[BANCOS]])+1)+1,LEN(Tab_CodBancos[[#This Row],[BANCOS]]))</f>
        <v>Banco Santander</v>
      </c>
      <c r="F20" s="7">
        <f>SEARCH(" ",Tab_CodBancos[[#This Row],[BANCOS]],SEARCH(" ",Tab_CodBancos[[#This Row],[BANCOS]])+1)+1</f>
        <v>6</v>
      </c>
    </row>
    <row r="21" spans="1:6" x14ac:dyDescent="0.25">
      <c r="A21" s="9" t="s">
        <v>40</v>
      </c>
      <c r="C21" s="15">
        <f>SEARCH("-",Tab_CodBancos[[#This Row],[BANCOS]])</f>
        <v>5</v>
      </c>
      <c r="D21" s="7" t="str">
        <f>MID(Tab_CodBancos[[#This Row],[BANCOS]],1,SEARCH("-",Tab_CodBancos[[#This Row],[BANCOS]])-2)</f>
        <v>336</v>
      </c>
      <c r="E21" s="7" t="str">
        <f>MID(Tab_CodBancos[[#This Row],[BANCOS]],SEARCH(" ",Tab_CodBancos[[#This Row],[BANCOS]],SEARCH(" ",Tab_CodBancos[[#This Row],[BANCOS]])+1)+1,LEN(Tab_CodBancos[[#This Row],[BANCOS]]))</f>
        <v>C6 Bank</v>
      </c>
      <c r="F21" s="7">
        <f>SEARCH(" ",Tab_CodBancos[[#This Row],[BANCOS]],SEARCH(" ",Tab_CodBancos[[#This Row],[BANCOS]])+1)+1</f>
        <v>7</v>
      </c>
    </row>
    <row r="22" spans="1:6" x14ac:dyDescent="0.25">
      <c r="A22" s="10" t="s">
        <v>41</v>
      </c>
      <c r="C22" s="15">
        <f>SEARCH("-",Tab_CodBancos[[#This Row],[BANCOS]])</f>
        <v>5</v>
      </c>
      <c r="D22" s="7" t="str">
        <f>MID(Tab_CodBancos[[#This Row],[BANCOS]],1,SEARCH("-",Tab_CodBancos[[#This Row],[BANCOS]])-2)</f>
        <v>341</v>
      </c>
      <c r="E22" s="7" t="str">
        <f>MID(Tab_CodBancos[[#This Row],[BANCOS]],SEARCH(" ",Tab_CodBancos[[#This Row],[BANCOS]],SEARCH(" ",Tab_CodBancos[[#This Row],[BANCOS]])+1)+1,LEN(Tab_CodBancos[[#This Row],[BANCOS]]))</f>
        <v>Itaú Unibanco</v>
      </c>
      <c r="F22" s="7">
        <f>SEARCH(" ",Tab_CodBancos[[#This Row],[BANCOS]],SEARCH(" ",Tab_CodBancos[[#This Row],[BANCOS]])+1)+1</f>
        <v>7</v>
      </c>
    </row>
    <row r="23" spans="1:6" x14ac:dyDescent="0.25">
      <c r="A23" s="9" t="s">
        <v>42</v>
      </c>
      <c r="C23" s="15">
        <f>SEARCH("-",Tab_CodBancos[[#This Row],[BANCOS]])</f>
        <v>4</v>
      </c>
      <c r="D23" s="7" t="str">
        <f>MID(Tab_CodBancos[[#This Row],[BANCOS]],1,SEARCH("-",Tab_CodBancos[[#This Row],[BANCOS]])-2)</f>
        <v>37</v>
      </c>
      <c r="E23" s="7" t="str">
        <f>MID(Tab_CodBancos[[#This Row],[BANCOS]],SEARCH(" ",Tab_CodBancos[[#This Row],[BANCOS]],SEARCH(" ",Tab_CodBancos[[#This Row],[BANCOS]])+1)+1,LEN(Tab_CodBancos[[#This Row],[BANCOS]]))</f>
        <v>Banco do Estado do Pará</v>
      </c>
      <c r="F23" s="7">
        <f>SEARCH(" ",Tab_CodBancos[[#This Row],[BANCOS]],SEARCH(" ",Tab_CodBancos[[#This Row],[BANCOS]])+1)+1</f>
        <v>6</v>
      </c>
    </row>
    <row r="24" spans="1:6" x14ac:dyDescent="0.25">
      <c r="A24" s="10" t="s">
        <v>43</v>
      </c>
      <c r="C24" s="15">
        <f>SEARCH("-",Tab_CodBancos[[#This Row],[BANCOS]])</f>
        <v>5</v>
      </c>
      <c r="D24" s="7" t="str">
        <f>MID(Tab_CodBancos[[#This Row],[BANCOS]],1,SEARCH("-",Tab_CodBancos[[#This Row],[BANCOS]])-2)</f>
        <v>376</v>
      </c>
      <c r="E24" s="7" t="str">
        <f>MID(Tab_CodBancos[[#This Row],[BANCOS]],SEARCH(" ",Tab_CodBancos[[#This Row],[BANCOS]],SEARCH(" ",Tab_CodBancos[[#This Row],[BANCOS]])+1)+1,LEN(Tab_CodBancos[[#This Row],[BANCOS]]))</f>
        <v>Banco JPMorgan S.A.</v>
      </c>
      <c r="F24" s="7">
        <f>SEARCH(" ",Tab_CodBancos[[#This Row],[BANCOS]],SEARCH(" ",Tab_CodBancos[[#This Row],[BANCOS]])+1)+1</f>
        <v>7</v>
      </c>
    </row>
    <row r="25" spans="1:6" x14ac:dyDescent="0.25">
      <c r="A25" s="9" t="s">
        <v>44</v>
      </c>
      <c r="C25" s="15">
        <f>SEARCH("-",Tab_CodBancos[[#This Row],[BANCOS]])</f>
        <v>5</v>
      </c>
      <c r="D25" s="7" t="str">
        <f>MID(Tab_CodBancos[[#This Row],[BANCOS]],1,SEARCH("-",Tab_CodBancos[[#This Row],[BANCOS]])-2)</f>
        <v>380</v>
      </c>
      <c r="E25" s="7" t="str">
        <f>MID(Tab_CodBancos[[#This Row],[BANCOS]],SEARCH(" ",Tab_CodBancos[[#This Row],[BANCOS]],SEARCH(" ",Tab_CodBancos[[#This Row],[BANCOS]])+1)+1,LEN(Tab_CodBancos[[#This Row],[BANCOS]]))</f>
        <v>PicPay</v>
      </c>
      <c r="F25" s="7">
        <f>SEARCH(" ",Tab_CodBancos[[#This Row],[BANCOS]],SEARCH(" ",Tab_CodBancos[[#This Row],[BANCOS]])+1)+1</f>
        <v>7</v>
      </c>
    </row>
    <row r="26" spans="1:6" x14ac:dyDescent="0.25">
      <c r="A26" s="10" t="s">
        <v>45</v>
      </c>
      <c r="C26" s="15">
        <f>SEARCH("-",Tab_CodBancos[[#This Row],[BANCOS]])</f>
        <v>3</v>
      </c>
      <c r="D26" s="7" t="str">
        <f>MID(Tab_CodBancos[[#This Row],[BANCOS]],1,SEARCH("-",Tab_CodBancos[[#This Row],[BANCOS]])-2)</f>
        <v>4</v>
      </c>
      <c r="E26" s="7" t="str">
        <f>MID(Tab_CodBancos[[#This Row],[BANCOS]],SEARCH(" ",Tab_CodBancos[[#This Row],[BANCOS]],SEARCH(" ",Tab_CodBancos[[#This Row],[BANCOS]])+1)+1,LEN(Tab_CodBancos[[#This Row],[BANCOS]]))</f>
        <v>Banco do Nordeste do Brasil</v>
      </c>
      <c r="F26" s="7">
        <f>SEARCH(" ",Tab_CodBancos[[#This Row],[BANCOS]],SEARCH(" ",Tab_CodBancos[[#This Row],[BANCOS]])+1)+1</f>
        <v>5</v>
      </c>
    </row>
    <row r="27" spans="1:6" x14ac:dyDescent="0.25">
      <c r="A27" s="9" t="s">
        <v>46</v>
      </c>
      <c r="C27" s="15">
        <f>SEARCH("-",Tab_CodBancos[[#This Row],[BANCOS]])</f>
        <v>4</v>
      </c>
      <c r="D27" s="7" t="str">
        <f>MID(Tab_CodBancos[[#This Row],[BANCOS]],1,SEARCH("-",Tab_CodBancos[[#This Row],[BANCOS]])-2)</f>
        <v>41</v>
      </c>
      <c r="E27" s="7" t="str">
        <f>MID(Tab_CodBancos[[#This Row],[BANCOS]],SEARCH(" ",Tab_CodBancos[[#This Row],[BANCOS]],SEARCH(" ",Tab_CodBancos[[#This Row],[BANCOS]])+1)+1,LEN(Tab_CodBancos[[#This Row],[BANCOS]]))</f>
        <v>Banco do Estado do Rio Grande do Sul</v>
      </c>
      <c r="F27" s="7">
        <f>SEARCH(" ",Tab_CodBancos[[#This Row],[BANCOS]],SEARCH(" ",Tab_CodBancos[[#This Row],[BANCOS]])+1)+1</f>
        <v>6</v>
      </c>
    </row>
    <row r="28" spans="1:6" x14ac:dyDescent="0.25">
      <c r="A28" s="10" t="s">
        <v>47</v>
      </c>
      <c r="C28" s="15">
        <f>SEARCH("-",Tab_CodBancos[[#This Row],[BANCOS]])</f>
        <v>5</v>
      </c>
      <c r="D28" s="7" t="str">
        <f>MID(Tab_CodBancos[[#This Row],[BANCOS]],1,SEARCH("-",Tab_CodBancos[[#This Row],[BANCOS]])-2)</f>
        <v>422</v>
      </c>
      <c r="E28" s="7" t="str">
        <f>MID(Tab_CodBancos[[#This Row],[BANCOS]],SEARCH(" ",Tab_CodBancos[[#This Row],[BANCOS]],SEARCH(" ",Tab_CodBancos[[#This Row],[BANCOS]])+1)+1,LEN(Tab_CodBancos[[#This Row],[BANCOS]]))</f>
        <v>Banco Safra</v>
      </c>
      <c r="F28" s="7">
        <f>SEARCH(" ",Tab_CodBancos[[#This Row],[BANCOS]],SEARCH(" ",Tab_CodBancos[[#This Row],[BANCOS]])+1)+1</f>
        <v>7</v>
      </c>
    </row>
    <row r="29" spans="1:6" x14ac:dyDescent="0.25">
      <c r="A29" s="9" t="s">
        <v>48</v>
      </c>
      <c r="C29" s="15">
        <f>SEARCH("-",Tab_CodBancos[[#This Row],[BANCOS]])</f>
        <v>4</v>
      </c>
      <c r="D29" s="7" t="str">
        <f>MID(Tab_CodBancos[[#This Row],[BANCOS]],1,SEARCH("-",Tab_CodBancos[[#This Row],[BANCOS]])-2)</f>
        <v>44</v>
      </c>
      <c r="E29" s="7" t="str">
        <f>MID(Tab_CodBancos[[#This Row],[BANCOS]],SEARCH(" ",Tab_CodBancos[[#This Row],[BANCOS]],SEARCH(" ",Tab_CodBancos[[#This Row],[BANCOS]])+1)+1,LEN(Tab_CodBancos[[#This Row],[BANCOS]]))</f>
        <v>Banco BVA</v>
      </c>
      <c r="F29" s="7">
        <f>SEARCH(" ",Tab_CodBancos[[#This Row],[BANCOS]],SEARCH(" ",Tab_CodBancos[[#This Row],[BANCOS]])+1)+1</f>
        <v>6</v>
      </c>
    </row>
    <row r="30" spans="1:6" x14ac:dyDescent="0.25">
      <c r="A30" s="10" t="s">
        <v>49</v>
      </c>
      <c r="C30" s="15">
        <f>SEARCH("-",Tab_CodBancos[[#This Row],[BANCOS]])</f>
        <v>5</v>
      </c>
      <c r="D30" s="7" t="str">
        <f>MID(Tab_CodBancos[[#This Row],[BANCOS]],1,SEARCH("-",Tab_CodBancos[[#This Row],[BANCOS]])-2)</f>
        <v>464</v>
      </c>
      <c r="E30" s="7" t="str">
        <f>MID(Tab_CodBancos[[#This Row],[BANCOS]],SEARCH(" ",Tab_CodBancos[[#This Row],[BANCOS]],SEARCH(" ",Tab_CodBancos[[#This Row],[BANCOS]])+1)+1,LEN(Tab_CodBancos[[#This Row],[BANCOS]]))</f>
        <v>Banco Sumitomo Mitsui Brasileiro</v>
      </c>
      <c r="F30" s="7">
        <f>SEARCH(" ",Tab_CodBancos[[#This Row],[BANCOS]],SEARCH(" ",Tab_CodBancos[[#This Row],[BANCOS]])+1)+1</f>
        <v>7</v>
      </c>
    </row>
    <row r="31" spans="1:6" x14ac:dyDescent="0.25">
      <c r="A31" s="9" t="s">
        <v>50</v>
      </c>
      <c r="C31" s="15">
        <f>SEARCH("-",Tab_CodBancos[[#This Row],[BANCOS]])</f>
        <v>5</v>
      </c>
      <c r="D31" s="7" t="str">
        <f>MID(Tab_CodBancos[[#This Row],[BANCOS]],1,SEARCH("-",Tab_CodBancos[[#This Row],[BANCOS]])-2)</f>
        <v>477</v>
      </c>
      <c r="E31" s="7" t="str">
        <f>MID(Tab_CodBancos[[#This Row],[BANCOS]],SEARCH(" ",Tab_CodBancos[[#This Row],[BANCOS]],SEARCH(" ",Tab_CodBancos[[#This Row],[BANCOS]])+1)+1,LEN(Tab_CodBancos[[#This Row],[BANCOS]]))</f>
        <v>Citibank</v>
      </c>
      <c r="F31" s="7">
        <f>SEARCH(" ",Tab_CodBancos[[#This Row],[BANCOS]],SEARCH(" ",Tab_CodBancos[[#This Row],[BANCOS]])+1)+1</f>
        <v>7</v>
      </c>
    </row>
    <row r="32" spans="1:6" x14ac:dyDescent="0.25">
      <c r="A32" s="10" t="s">
        <v>51</v>
      </c>
      <c r="C32" s="15">
        <f>SEARCH("-",Tab_CodBancos[[#This Row],[BANCOS]])</f>
        <v>5</v>
      </c>
      <c r="D32" s="7" t="str">
        <f>MID(Tab_CodBancos[[#This Row],[BANCOS]],1,SEARCH("-",Tab_CodBancos[[#This Row],[BANCOS]])-2)</f>
        <v>600</v>
      </c>
      <c r="E32" s="7" t="str">
        <f>MID(Tab_CodBancos[[#This Row],[BANCOS]],SEARCH(" ",Tab_CodBancos[[#This Row],[BANCOS]],SEARCH(" ",Tab_CodBancos[[#This Row],[BANCOS]])+1)+1,LEN(Tab_CodBancos[[#This Row],[BANCOS]]))</f>
        <v>Banco Luso Brasileiro</v>
      </c>
      <c r="F32" s="7">
        <f>SEARCH(" ",Tab_CodBancos[[#This Row],[BANCOS]],SEARCH(" ",Tab_CodBancos[[#This Row],[BANCOS]])+1)+1</f>
        <v>7</v>
      </c>
    </row>
    <row r="33" spans="1:6" x14ac:dyDescent="0.25">
      <c r="A33" s="9" t="s">
        <v>52</v>
      </c>
      <c r="C33" s="15">
        <f>SEARCH("-",Tab_CodBancos[[#This Row],[BANCOS]])</f>
        <v>5</v>
      </c>
      <c r="D33" s="7" t="str">
        <f>MID(Tab_CodBancos[[#This Row],[BANCOS]],1,SEARCH("-",Tab_CodBancos[[#This Row],[BANCOS]])-2)</f>
        <v>604</v>
      </c>
      <c r="E33" s="7" t="str">
        <f>MID(Tab_CodBancos[[#This Row],[BANCOS]],SEARCH(" ",Tab_CodBancos[[#This Row],[BANCOS]],SEARCH(" ",Tab_CodBancos[[#This Row],[BANCOS]])+1)+1,LEN(Tab_CodBancos[[#This Row],[BANCOS]]))</f>
        <v>Banco Industrial do Brasil</v>
      </c>
      <c r="F33" s="7">
        <f>SEARCH(" ",Tab_CodBancos[[#This Row],[BANCOS]],SEARCH(" ",Tab_CodBancos[[#This Row],[BANCOS]])+1)+1</f>
        <v>7</v>
      </c>
    </row>
    <row r="34" spans="1:6" x14ac:dyDescent="0.25">
      <c r="A34" s="10" t="s">
        <v>53</v>
      </c>
      <c r="C34" s="15">
        <f>SEARCH("-",Tab_CodBancos[[#This Row],[BANCOS]])</f>
        <v>5</v>
      </c>
      <c r="D34" s="7" t="str">
        <f>MID(Tab_CodBancos[[#This Row],[BANCOS]],1,SEARCH("-",Tab_CodBancos[[#This Row],[BANCOS]])-2)</f>
        <v>610</v>
      </c>
      <c r="E34" s="7" t="str">
        <f>MID(Tab_CodBancos[[#This Row],[BANCOS]],SEARCH(" ",Tab_CodBancos[[#This Row],[BANCOS]],SEARCH(" ",Tab_CodBancos[[#This Row],[BANCOS]])+1)+1,LEN(Tab_CodBancos[[#This Row],[BANCOS]]))</f>
        <v>Banco VR</v>
      </c>
      <c r="F34" s="7">
        <f>SEARCH(" ",Tab_CodBancos[[#This Row],[BANCOS]],SEARCH(" ",Tab_CodBancos[[#This Row],[BANCOS]])+1)+1</f>
        <v>7</v>
      </c>
    </row>
    <row r="35" spans="1:6" x14ac:dyDescent="0.25">
      <c r="A35" s="9" t="s">
        <v>54</v>
      </c>
      <c r="C35" s="15">
        <f>SEARCH("-",Tab_CodBancos[[#This Row],[BANCOS]])</f>
        <v>4</v>
      </c>
      <c r="D35" s="7" t="str">
        <f>MID(Tab_CodBancos[[#This Row],[BANCOS]],1,SEARCH("-",Tab_CodBancos[[#This Row],[BANCOS]])-2)</f>
        <v>62</v>
      </c>
      <c r="E35" s="7" t="str">
        <f>MID(Tab_CodBancos[[#This Row],[BANCOS]],SEARCH(" ",Tab_CodBancos[[#This Row],[BANCOS]],SEARCH(" ",Tab_CodBancos[[#This Row],[BANCOS]])+1)+1,LEN(Tab_CodBancos[[#This Row],[BANCOS]]))</f>
        <v>Hipercard Banco Múltiplo</v>
      </c>
      <c r="F35" s="7">
        <f>SEARCH(" ",Tab_CodBancos[[#This Row],[BANCOS]],SEARCH(" ",Tab_CodBancos[[#This Row],[BANCOS]])+1)+1</f>
        <v>6</v>
      </c>
    </row>
    <row r="36" spans="1:6" x14ac:dyDescent="0.25">
      <c r="A36" s="10" t="s">
        <v>55</v>
      </c>
      <c r="C36" s="15">
        <f>SEARCH("-",Tab_CodBancos[[#This Row],[BANCOS]])</f>
        <v>5</v>
      </c>
      <c r="D36" s="7" t="str">
        <f>MID(Tab_CodBancos[[#This Row],[BANCOS]],1,SEARCH("-",Tab_CodBancos[[#This Row],[BANCOS]])-2)</f>
        <v>634</v>
      </c>
      <c r="E36" s="7" t="str">
        <f>MID(Tab_CodBancos[[#This Row],[BANCOS]],SEARCH(" ",Tab_CodBancos[[#This Row],[BANCOS]],SEARCH(" ",Tab_CodBancos[[#This Row],[BANCOS]])+1)+1,LEN(Tab_CodBancos[[#This Row],[BANCOS]]))</f>
        <v>Banco Triângulo</v>
      </c>
      <c r="F36" s="7">
        <f>SEARCH(" ",Tab_CodBancos[[#This Row],[BANCOS]],SEARCH(" ",Tab_CodBancos[[#This Row],[BANCOS]])+1)+1</f>
        <v>7</v>
      </c>
    </row>
    <row r="37" spans="1:6" x14ac:dyDescent="0.25">
      <c r="A37" s="9" t="s">
        <v>56</v>
      </c>
      <c r="C37" s="15">
        <f>SEARCH("-",Tab_CodBancos[[#This Row],[BANCOS]])</f>
        <v>4</v>
      </c>
      <c r="D37" s="7" t="str">
        <f>MID(Tab_CodBancos[[#This Row],[BANCOS]],1,SEARCH("-",Tab_CodBancos[[#This Row],[BANCOS]])-2)</f>
        <v>65</v>
      </c>
      <c r="E37" s="7" t="str">
        <f>MID(Tab_CodBancos[[#This Row],[BANCOS]],SEARCH(" ",Tab_CodBancos[[#This Row],[BANCOS]],SEARCH(" ",Tab_CodBancos[[#This Row],[BANCOS]])+1)+1,LEN(Tab_CodBancos[[#This Row],[BANCOS]]))</f>
        <v>Banco Lemon</v>
      </c>
      <c r="F37" s="7">
        <f>SEARCH(" ",Tab_CodBancos[[#This Row],[BANCOS]],SEARCH(" ",Tab_CodBancos[[#This Row],[BANCOS]])+1)+1</f>
        <v>6</v>
      </c>
    </row>
    <row r="38" spans="1:6" x14ac:dyDescent="0.25">
      <c r="A38" s="10" t="s">
        <v>57</v>
      </c>
      <c r="C38" s="15">
        <f>SEARCH("-",Tab_CodBancos[[#This Row],[BANCOS]])</f>
        <v>5</v>
      </c>
      <c r="D38" s="7" t="str">
        <f>MID(Tab_CodBancos[[#This Row],[BANCOS]],1,SEARCH("-",Tab_CodBancos[[#This Row],[BANCOS]])-2)</f>
        <v>654</v>
      </c>
      <c r="E38" s="7" t="str">
        <f>MID(Tab_CodBancos[[#This Row],[BANCOS]],SEARCH(" ",Tab_CodBancos[[#This Row],[BANCOS]],SEARCH(" ",Tab_CodBancos[[#This Row],[BANCOS]])+1)+1,LEN(Tab_CodBancos[[#This Row],[BANCOS]]))</f>
        <v>Banco AJ Renner</v>
      </c>
      <c r="F38" s="7">
        <f>SEARCH(" ",Tab_CodBancos[[#This Row],[BANCOS]],SEARCH(" ",Tab_CodBancos[[#This Row],[BANCOS]])+1)+1</f>
        <v>7</v>
      </c>
    </row>
    <row r="39" spans="1:6" x14ac:dyDescent="0.25">
      <c r="A39" s="9" t="s">
        <v>58</v>
      </c>
      <c r="C39" s="15">
        <f>SEARCH("-",Tab_CodBancos[[#This Row],[BANCOS]])</f>
        <v>5</v>
      </c>
      <c r="D39" s="7" t="str">
        <f>MID(Tab_CodBancos[[#This Row],[BANCOS]],1,SEARCH("-",Tab_CodBancos[[#This Row],[BANCOS]])-2)</f>
        <v>655</v>
      </c>
      <c r="E39" s="7" t="str">
        <f>MID(Tab_CodBancos[[#This Row],[BANCOS]],SEARCH(" ",Tab_CodBancos[[#This Row],[BANCOS]],SEARCH(" ",Tab_CodBancos[[#This Row],[BANCOS]])+1)+1,LEN(Tab_CodBancos[[#This Row],[BANCOS]]))</f>
        <v>Banco Votorantim</v>
      </c>
      <c r="F39" s="7">
        <f>SEARCH(" ",Tab_CodBancos[[#This Row],[BANCOS]],SEARCH(" ",Tab_CodBancos[[#This Row],[BANCOS]])+1)+1</f>
        <v>7</v>
      </c>
    </row>
    <row r="40" spans="1:6" x14ac:dyDescent="0.25">
      <c r="A40" s="10" t="s">
        <v>59</v>
      </c>
      <c r="C40" s="15">
        <f>SEARCH("-",Tab_CodBancos[[#This Row],[BANCOS]])</f>
        <v>4</v>
      </c>
      <c r="D40" s="7" t="str">
        <f>MID(Tab_CodBancos[[#This Row],[BANCOS]],1,SEARCH("-",Tab_CodBancos[[#This Row],[BANCOS]])-2)</f>
        <v>66</v>
      </c>
      <c r="E40" s="7" t="str">
        <f>MID(Tab_CodBancos[[#This Row],[BANCOS]],SEARCH(" ",Tab_CodBancos[[#This Row],[BANCOS]],SEARCH(" ",Tab_CodBancos[[#This Row],[BANCOS]])+1)+1,LEN(Tab_CodBancos[[#This Row],[BANCOS]]))</f>
        <v>Banco Morgan Stanley</v>
      </c>
      <c r="F40" s="7">
        <f>SEARCH(" ",Tab_CodBancos[[#This Row],[BANCOS]],SEARCH(" ",Tab_CodBancos[[#This Row],[BANCOS]])+1)+1</f>
        <v>6</v>
      </c>
    </row>
    <row r="41" spans="1:6" x14ac:dyDescent="0.25">
      <c r="A41" s="9" t="s">
        <v>60</v>
      </c>
      <c r="C41" s="15">
        <f>SEARCH("-",Tab_CodBancos[[#This Row],[BANCOS]])</f>
        <v>5</v>
      </c>
      <c r="D41" s="7" t="str">
        <f>MID(Tab_CodBancos[[#This Row],[BANCOS]],1,SEARCH("-",Tab_CodBancos[[#This Row],[BANCOS]])-2)</f>
        <v>707</v>
      </c>
      <c r="E41" s="7" t="str">
        <f>MID(Tab_CodBancos[[#This Row],[BANCOS]],SEARCH(" ",Tab_CodBancos[[#This Row],[BANCOS]],SEARCH(" ",Tab_CodBancos[[#This Row],[BANCOS]])+1)+1,LEN(Tab_CodBancos[[#This Row],[BANCOS]]))</f>
        <v>Banco Daycoval</v>
      </c>
      <c r="F41" s="7">
        <f>SEARCH(" ",Tab_CodBancos[[#This Row],[BANCOS]],SEARCH(" ",Tab_CodBancos[[#This Row],[BANCOS]])+1)+1</f>
        <v>7</v>
      </c>
    </row>
    <row r="42" spans="1:6" x14ac:dyDescent="0.25">
      <c r="A42" s="10" t="s">
        <v>61</v>
      </c>
      <c r="C42" s="15">
        <f>SEARCH("-",Tab_CodBancos[[#This Row],[BANCOS]])</f>
        <v>4</v>
      </c>
      <c r="D42" s="7" t="str">
        <f>MID(Tab_CodBancos[[#This Row],[BANCOS]],1,SEARCH("-",Tab_CodBancos[[#This Row],[BANCOS]])-2)</f>
        <v>72</v>
      </c>
      <c r="E42" s="7" t="str">
        <f>MID(Tab_CodBancos[[#This Row],[BANCOS]],SEARCH(" ",Tab_CodBancos[[#This Row],[BANCOS]],SEARCH(" ",Tab_CodBancos[[#This Row],[BANCOS]])+1)+1,LEN(Tab_CodBancos[[#This Row],[BANCOS]]))</f>
        <v>Banco Rural Mais</v>
      </c>
      <c r="F42" s="7">
        <f>SEARCH(" ",Tab_CodBancos[[#This Row],[BANCOS]],SEARCH(" ",Tab_CodBancos[[#This Row],[BANCOS]])+1)+1</f>
        <v>6</v>
      </c>
    </row>
    <row r="43" spans="1:6" x14ac:dyDescent="0.25">
      <c r="A43" s="9" t="s">
        <v>62</v>
      </c>
      <c r="C43" s="15">
        <f>SEARCH("-",Tab_CodBancos[[#This Row],[BANCOS]])</f>
        <v>5</v>
      </c>
      <c r="D43" s="7" t="str">
        <f>MID(Tab_CodBancos[[#This Row],[BANCOS]],1,SEARCH("-",Tab_CodBancos[[#This Row],[BANCOS]])-2)</f>
        <v>734</v>
      </c>
      <c r="E43" s="7" t="str">
        <f>MID(Tab_CodBancos[[#This Row],[BANCOS]],SEARCH(" ",Tab_CodBancos[[#This Row],[BANCOS]],SEARCH(" ",Tab_CodBancos[[#This Row],[BANCOS]])+1)+1,LEN(Tab_CodBancos[[#This Row],[BANCOS]]))</f>
        <v>Banco Gerdau</v>
      </c>
      <c r="F43" s="7">
        <f>SEARCH(" ",Tab_CodBancos[[#This Row],[BANCOS]],SEARCH(" ",Tab_CodBancos[[#This Row],[BANCOS]])+1)+1</f>
        <v>7</v>
      </c>
    </row>
    <row r="44" spans="1:6" x14ac:dyDescent="0.25">
      <c r="A44" s="10" t="s">
        <v>63</v>
      </c>
      <c r="C44" s="15">
        <f>SEARCH("-",Tab_CodBancos[[#This Row],[BANCOS]])</f>
        <v>5</v>
      </c>
      <c r="D44" s="7" t="str">
        <f>MID(Tab_CodBancos[[#This Row],[BANCOS]],1,SEARCH("-",Tab_CodBancos[[#This Row],[BANCOS]])-2)</f>
        <v>735</v>
      </c>
      <c r="E44" s="7" t="str">
        <f>MID(Tab_CodBancos[[#This Row],[BANCOS]],SEARCH(" ",Tab_CodBancos[[#This Row],[BANCOS]],SEARCH(" ",Tab_CodBancos[[#This Row],[BANCOS]])+1)+1,LEN(Tab_CodBancos[[#This Row],[BANCOS]]))</f>
        <v>Banco Neon</v>
      </c>
      <c r="F44" s="7">
        <f>SEARCH(" ",Tab_CodBancos[[#This Row],[BANCOS]],SEARCH(" ",Tab_CodBancos[[#This Row],[BANCOS]])+1)+1</f>
        <v>7</v>
      </c>
    </row>
    <row r="45" spans="1:6" x14ac:dyDescent="0.25">
      <c r="A45" s="9" t="s">
        <v>64</v>
      </c>
      <c r="C45" s="15">
        <f>SEARCH("-",Tab_CodBancos[[#This Row],[BANCOS]])</f>
        <v>4</v>
      </c>
      <c r="D45" s="7" t="str">
        <f>MID(Tab_CodBancos[[#This Row],[BANCOS]],1,SEARCH("-",Tab_CodBancos[[#This Row],[BANCOS]])-2)</f>
        <v>74</v>
      </c>
      <c r="E45" s="7" t="str">
        <f>MID(Tab_CodBancos[[#This Row],[BANCOS]],SEARCH(" ",Tab_CodBancos[[#This Row],[BANCOS]],SEARCH(" ",Tab_CodBancos[[#This Row],[BANCOS]])+1)+1,LEN(Tab_CodBancos[[#This Row],[BANCOS]]))</f>
        <v>Banco J. Safra</v>
      </c>
      <c r="F45" s="7">
        <f>SEARCH(" ",Tab_CodBancos[[#This Row],[BANCOS]],SEARCH(" ",Tab_CodBancos[[#This Row],[BANCOS]])+1)+1</f>
        <v>6</v>
      </c>
    </row>
    <row r="46" spans="1:6" x14ac:dyDescent="0.25">
      <c r="A46" s="10" t="s">
        <v>65</v>
      </c>
      <c r="C46" s="15">
        <f>SEARCH("-",Tab_CodBancos[[#This Row],[BANCOS]])</f>
        <v>5</v>
      </c>
      <c r="D46" s="7" t="str">
        <f>MID(Tab_CodBancos[[#This Row],[BANCOS]],1,SEARCH("-",Tab_CodBancos[[#This Row],[BANCOS]])-2)</f>
        <v>746</v>
      </c>
      <c r="E46" s="7" t="str">
        <f>MID(Tab_CodBancos[[#This Row],[BANCOS]],SEARCH(" ",Tab_CodBancos[[#This Row],[BANCOS]],SEARCH(" ",Tab_CodBancos[[#This Row],[BANCOS]])+1)+1,LEN(Tab_CodBancos[[#This Row],[BANCOS]]))</f>
        <v>Banco Modal</v>
      </c>
      <c r="F46" s="7">
        <f>SEARCH(" ",Tab_CodBancos[[#This Row],[BANCOS]],SEARCH(" ",Tab_CodBancos[[#This Row],[BANCOS]])+1)+1</f>
        <v>7</v>
      </c>
    </row>
    <row r="47" spans="1:6" x14ac:dyDescent="0.25">
      <c r="A47" s="9" t="s">
        <v>66</v>
      </c>
      <c r="C47" s="15">
        <f>SEARCH("-",Tab_CodBancos[[#This Row],[BANCOS]])</f>
        <v>5</v>
      </c>
      <c r="D47" s="7" t="str">
        <f>MID(Tab_CodBancos[[#This Row],[BANCOS]],1,SEARCH("-",Tab_CodBancos[[#This Row],[BANCOS]])-2)</f>
        <v>748</v>
      </c>
      <c r="E47" s="7" t="str">
        <f>MID(Tab_CodBancos[[#This Row],[BANCOS]],SEARCH(" ",Tab_CodBancos[[#This Row],[BANCOS]],SEARCH(" ",Tab_CodBancos[[#This Row],[BANCOS]])+1)+1,LEN(Tab_CodBancos[[#This Row],[BANCOS]]))</f>
        <v>Banco Cooperativo Sicredi S.A.</v>
      </c>
      <c r="F47" s="7">
        <f>SEARCH(" ",Tab_CodBancos[[#This Row],[BANCOS]],SEARCH(" ",Tab_CodBancos[[#This Row],[BANCOS]])+1)+1</f>
        <v>7</v>
      </c>
    </row>
    <row r="48" spans="1:6" x14ac:dyDescent="0.25">
      <c r="A48" s="10" t="s">
        <v>67</v>
      </c>
      <c r="C48" s="15">
        <f>SEARCH("-",Tab_CodBancos[[#This Row],[BANCOS]])</f>
        <v>5</v>
      </c>
      <c r="D48" s="7" t="str">
        <f>MID(Tab_CodBancos[[#This Row],[BANCOS]],1,SEARCH("-",Tab_CodBancos[[#This Row],[BANCOS]])-2)</f>
        <v>749</v>
      </c>
      <c r="E48" s="7" t="str">
        <f>MID(Tab_CodBancos[[#This Row],[BANCOS]],SEARCH(" ",Tab_CodBancos[[#This Row],[BANCOS]],SEARCH(" ",Tab_CodBancos[[#This Row],[BANCOS]])+1)+1,LEN(Tab_CodBancos[[#This Row],[BANCOS]]))</f>
        <v>Banco Simples</v>
      </c>
      <c r="F48" s="7">
        <f>SEARCH(" ",Tab_CodBancos[[#This Row],[BANCOS]],SEARCH(" ",Tab_CodBancos[[#This Row],[BANCOS]])+1)+1</f>
        <v>7</v>
      </c>
    </row>
    <row r="49" spans="1:6" x14ac:dyDescent="0.25">
      <c r="A49" s="9" t="s">
        <v>68</v>
      </c>
      <c r="C49" s="15">
        <f>SEARCH("-",Tab_CodBancos[[#This Row],[BANCOS]])</f>
        <v>4</v>
      </c>
      <c r="D49" s="7" t="str">
        <f>MID(Tab_CodBancos[[#This Row],[BANCOS]],1,SEARCH("-",Tab_CodBancos[[#This Row],[BANCOS]])-2)</f>
        <v>77</v>
      </c>
      <c r="E49" s="7" t="str">
        <f>MID(Tab_CodBancos[[#This Row],[BANCOS]],SEARCH(" ",Tab_CodBancos[[#This Row],[BANCOS]],SEARCH(" ",Tab_CodBancos[[#This Row],[BANCOS]])+1)+1,LEN(Tab_CodBancos[[#This Row],[BANCOS]]))</f>
        <v>Banco Inter</v>
      </c>
      <c r="F49" s="7">
        <f>SEARCH(" ",Tab_CodBancos[[#This Row],[BANCOS]],SEARCH(" ",Tab_CodBancos[[#This Row],[BANCOS]])+1)+1</f>
        <v>6</v>
      </c>
    </row>
    <row r="50" spans="1:6" x14ac:dyDescent="0.25">
      <c r="A50" s="10" t="s">
        <v>69</v>
      </c>
      <c r="C50" s="15">
        <f>SEARCH("-",Tab_CodBancos[[#This Row],[BANCOS]])</f>
        <v>4</v>
      </c>
      <c r="D50" s="7" t="str">
        <f>MID(Tab_CodBancos[[#This Row],[BANCOS]],1,SEARCH("-",Tab_CodBancos[[#This Row],[BANCOS]])-2)</f>
        <v>79</v>
      </c>
      <c r="E50" s="7" t="str">
        <f>MID(Tab_CodBancos[[#This Row],[BANCOS]],SEARCH(" ",Tab_CodBancos[[#This Row],[BANCOS]],SEARCH(" ",Tab_CodBancos[[#This Row],[BANCOS]])+1)+1,LEN(Tab_CodBancos[[#This Row],[BANCOS]]))</f>
        <v>Banco JBS</v>
      </c>
      <c r="F50" s="7">
        <f>SEARCH(" ",Tab_CodBancos[[#This Row],[BANCOS]],SEARCH(" ",Tab_CodBancos[[#This Row],[BANCOS]])+1)+1</f>
        <v>6</v>
      </c>
    </row>
    <row r="51" spans="1:6" x14ac:dyDescent="0.25">
      <c r="A51" s="9" t="s">
        <v>70</v>
      </c>
      <c r="C51" s="15">
        <f>SEARCH("-",Tab_CodBancos[[#This Row],[BANCOS]])</f>
        <v>4</v>
      </c>
      <c r="D51" s="7" t="str">
        <f>MID(Tab_CodBancos[[#This Row],[BANCOS]],1,SEARCH("-",Tab_CodBancos[[#This Row],[BANCOS]])-2)</f>
        <v>82</v>
      </c>
      <c r="E51" s="7" t="str">
        <f>MID(Tab_CodBancos[[#This Row],[BANCOS]],SEARCH(" ",Tab_CodBancos[[#This Row],[BANCOS]],SEARCH(" ",Tab_CodBancos[[#This Row],[BANCOS]])+1)+1,LEN(Tab_CodBancos[[#This Row],[BANCOS]]))</f>
        <v>Banco Topázio</v>
      </c>
      <c r="F51" s="7">
        <f>SEARCH(" ",Tab_CodBancos[[#This Row],[BANCOS]],SEARCH(" ",Tab_CodBancos[[#This Row],[BANCOS]])+1)+1</f>
        <v>6</v>
      </c>
    </row>
    <row r="52" spans="1:6" customFormat="1" x14ac:dyDescent="0.25">
      <c r="A52" s="9"/>
    </row>
    <row r="53" spans="1:6" customFormat="1" x14ac:dyDescent="0.25"/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Titular</vt:lpstr>
      <vt:lpstr>Informes</vt:lpstr>
      <vt:lpstr>Notas</vt:lpstr>
      <vt:lpstr>Tabelas auxiliares</vt:lpstr>
      <vt:lpstr>ListaDinamica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Carlos</dc:creator>
  <cp:lastModifiedBy>Alan Carlos</cp:lastModifiedBy>
  <dcterms:created xsi:type="dcterms:W3CDTF">2026-02-12T23:01:48Z</dcterms:created>
  <dcterms:modified xsi:type="dcterms:W3CDTF">2026-02-14T19:22:57Z</dcterms:modified>
</cp:coreProperties>
</file>